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0deb401825a54771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Scorecard" sheetId="1" r:id="Rbe7218016c7f48f5"/>
    <x:sheet xmlns:r="http://schemas.openxmlformats.org/officeDocument/2006/relationships" name="Instructions" sheetId="2" r:id="Re6b3df9f461b49dc"/>
    <x:sheet xmlns:r="http://schemas.openxmlformats.org/officeDocument/2006/relationships" name="1_Generation_Inventory" sheetId="3" r:id="Rabec55ca7e7c40be"/>
    <x:sheet xmlns:r="http://schemas.openxmlformats.org/officeDocument/2006/relationships" name="2_Collection_Log" sheetId="4" r:id="R43e1abd457f34f23"/>
    <x:sheet xmlns:r="http://schemas.openxmlformats.org/officeDocument/2006/relationships" name="3_Recycling_Infrastructure" sheetId="5" r:id="Ra23f66e42b964e83"/>
    <x:sheet xmlns:r="http://schemas.openxmlformats.org/officeDocument/2006/relationships" name="4_Compliance_Tracker" sheetId="6" r:id="Raeb363ec30c94d45"/>
    <x:sheet xmlns:r="http://schemas.openxmlformats.org/officeDocument/2006/relationships" name="5_Informal_Sector_Hotspots" sheetId="7" r:id="R154b2d2de9b849ce"/>
    <x:sheet xmlns:r="http://schemas.openxmlformats.org/officeDocument/2006/relationships" name="6_Env_Health_Monitoring" sheetId="8" r:id="Rc1f674a73db944dd"/>
    <x:sheet xmlns:r="http://schemas.openxmlformats.org/officeDocument/2006/relationships" name="7_Awareness_Programs" sheetId="9" r:id="Re2f70ce955f44a66"/>
  </x:sheets>
</x:workbook>
</file>

<file path=xl/sharedStrings.xml><?xml version="1.0" encoding="utf-8"?>
<x:sst xmlns:x="http://schemas.openxmlformats.org/spreadsheetml/2006/main">
  <x:si>
    <x:t xml:space="preserve">State E-Waste Management Scorecard</x:t>
  </x:si>
  <x:si>
    <x:t xml:space="preserve">Live score out of 100, calculated from the 7 data sheets. Set benchmarks in the yellow 'Target/Benchmark' cells.</x:t>
  </x:si>
  <x:si>
    <x:t xml:space="preserve">STATE SCORE</x:t>
  </x:si>
  <x:si>
    <x:t xml:space="preserve">#</x:t>
  </x:si>
  <x:si>
    <x:t xml:space="preserve">Category</x:t>
  </x:si>
  <x:si>
    <x:t xml:space="preserve">Weight</x:t>
  </x:si>
  <x:si>
    <x:t xml:space="preserve">Benchmark / Target</x:t>
  </x:si>
  <x:si>
    <x:t xml:space="preserve">Achieved Value</x:t>
  </x:si>
  <x:si>
    <x:t xml:space="preserve">Achievement %</x:t>
  </x:si>
  <x:si>
    <x:t xml:space="preserve">Score Earned</x:t>
  </x:si>
  <x:si>
    <x:t xml:space="preserve">Generation &amp; Inventory</x:t>
  </x:si>
  <x:si>
    <x:t xml:space="preserve">Collection Performance</x:t>
  </x:si>
  <x:si>
    <x:t xml:space="preserve">Formal Recycling &amp; Treatment</x:t>
  </x:si>
  <x:si>
    <x:t xml:space="preserve">Regulatory Compliance</x:t>
  </x:si>
  <x:si>
    <x:t xml:space="preserve">Informal Sector Integration</x:t>
  </x:si>
  <x:si>
    <x:t xml:space="preserve">Environmental &amp; Health Safeguards</x:t>
  </x:si>
  <x:si>
    <x:t xml:space="preserve">Awareness &amp; Outreach</x:t>
  </x:si>
  <x:si>
    <x:t xml:space="preserve">TOTAL SCORE</x:t>
  </x:si>
  <x:si>
    <x:t xml:space="preserve">Score Bands:</x:t>
  </x:si>
  <x:si>
    <x:t xml:space="preserve">85-100</x:t>
  </x:si>
  <x:si>
    <x:t xml:space="preserve">Excellent</x:t>
  </x:si>
  <x:si>
    <x:t xml:space="preserve">65-84</x:t>
  </x:si>
  <x:si>
    <x:t xml:space="preserve">Good</x:t>
  </x:si>
  <x:si>
    <x:t xml:space="preserve">45-64</x:t>
  </x:si>
  <x:si>
    <x:t xml:space="preserve">Needs Improvement</x:t>
  </x:si>
  <x:si>
    <x:t xml:space="preserve">0-44</x:t>
  </x:si>
  <x:si>
    <x:t xml:space="preserve">Critical</x:t>
  </x:si>
  <x:si>
    <x:t xml:space="preserve">State E-Waste Management Tracker - Scoring Methodology</x:t>
  </x:si>
  <x:si>
    <x:t xml:space="preserve">A 100-point scorecard for monitoring state-level e-waste generation, collection, formal treatment, compliance, and health/environmental safeguards, in line with the E-Waste (Management) Rules, 2022 (CPCB, India).</x:t>
  </x:si>
  <x:si>
    <x:t xml:space="preserve">Indicators (data source sheet)</x:t>
  </x:si>
  <x:si>
    <x:t xml:space="preserve">District reporting completeness; category-wise breakup; annual inventory update  -&gt;  '1_Generation_Inventory'</x:t>
  </x:si>
  <x:si>
    <x:t xml:space="preserve">Collection rate (%); collection centers per million population; EPR collection-target achievement  -&gt;  '2_Collection_Log'</x:t>
  </x:si>
  <x:si>
    <x:t xml:space="preserve">% processed by authorized recyclers; installed capacity vs generation; material recovery rate  -&gt;  '3_Recycling_Infrastructure'</x:t>
  </x:si>
  <x:si>
    <x:t xml:space="preserve">% producers/EPR entities compliant; inspections conducted vs planned; penalties resolved  -&gt;  '4_Compliance_Tracker'</x:t>
  </x:si>
  <x:si>
    <x:t xml:space="preserve">% hotspots formalized/remediated; % informal workers registered/trained  -&gt;  '5_Informal_Sector_Hotspots'</x:t>
  </x:si>
  <x:si>
    <x:t xml:space="preserve">% hotspots environmentally monitored; health screening camps conducted  -&gt;  '6_Env_Health_Monitoring'</x:t>
  </x:si>
  <x:si>
    <x:t xml:space="preserve">Awareness campaigns vs target; collection drives vs target  -&gt;  '7_Awareness_Programs'</x:t>
  </x:si>
  <x:si>
    <x:t xml:space="preserve">TOTAL</x:t>
  </x:si>
  <x:si>
    <x:t xml:space="preserve">How to use this workbook</x:t>
  </x:si>
  <x:si>
    <x:t xml:space="preserve">- Enter data in the 7 numbered sheets (yellow cells = your input). Each sheet has one grey example row - replace/delete it.</x:t>
  </x:si>
  <x:si>
    <x:t xml:space="preserve">Generation Inventory</x:t>
  </x:si>
  <x:si>
    <x:t xml:space="preserve">One row per district. Category-wise breakup based on E-Waste (Management) Rules, 2022, Schedule I (simplified).</x:t>
  </x:si>
  <x:si>
    <x:t xml:space="preserve">District</x:t>
  </x:si>
  <x:si>
    <x:t xml:space="preserve">Population</x:t>
  </x:si>
  <x:si>
    <x:t xml:space="preserve">IT &amp; Telecom (kg)</x:t>
  </x:si>
  <x:si>
    <x:t xml:space="preserve">Consumer Electrical &amp; Electronics (kg)</x:t>
  </x:si>
  <x:si>
    <x:t xml:space="preserve">Large &amp; Small Equipment (kg)</x:t>
  </x:si>
  <x:si>
    <x:t xml:space="preserve">Lighting Equipment (kg)</x:t>
  </x:si>
  <x:si>
    <x:t xml:space="preserve">Batteries (kg)</x:t>
  </x:si>
  <x:si>
    <x:t xml:space="preserve">Other (kg)</x:t>
  </x:si>
  <x:si>
    <x:t xml:space="preserve">Total Generated (kg)</x:t>
  </x:si>
  <x:si>
    <x:t xml:space="preserve">Date Last Updated</x:t>
  </x:si>
  <x:si>
    <x:t xml:space="preserve">Collection Log</x:t>
  </x:si>
  <x:si>
    <x:t xml:space="preserve">One row per district. 'Generated' auto-pulls from Sheet 1 by district name - keep district names identical across sheets.</x:t>
  </x:si>
  <x:si>
    <x:t xml:space="preserve">Generated (kg) [from Sheet 1]</x:t>
  </x:si>
  <x:si>
    <x:t xml:space="preserve">Collected (kg)</x:t>
  </x:si>
  <x:si>
    <x:t xml:space="preserve">Registered Collection Centers</x:t>
  </x:si>
  <x:si>
    <x:t xml:space="preserve">EPR Collection Target (kg)</x:t>
  </x:si>
  <x:si>
    <x:t xml:space="preserve">EPR Collection Achieved (kg)</x:t>
  </x:si>
  <x:si>
    <x:t xml:space="preserve">Remarks</x:t>
  </x:si>
  <x:si>
    <x:t xml:space="preserve">Recycling Infrastructure</x:t>
  </x:si>
  <x:si>
    <x:t xml:space="preserve">One row per CPCB/SPCB-authorized recycler or dismantler operating in the state.</x:t>
  </x:si>
  <x:si>
    <x:t xml:space="preserve">Recycler / Dismantler Name</x:t>
  </x:si>
  <x:si>
    <x:t xml:space="preserve">CPCB/SPCB Authorization No.</x:t>
  </x:si>
  <x:si>
    <x:t xml:space="preserve">Installed Capacity (tonnes/yr)</x:t>
  </x:si>
  <x:si>
    <x:t xml:space="preserve">Quantity Processed This Year (tonnes)</x:t>
  </x:si>
  <x:si>
    <x:t xml:space="preserve">Material Recovery Rate (%)</x:t>
  </x:si>
  <x:si>
    <x:t xml:space="preserve">Authorization Valid Till</x:t>
  </x:si>
  <x:si>
    <x:t xml:space="preserve">Compliance Tracker</x:t>
  </x:si>
  <x:si>
    <x:t xml:space="preserve">One row per registered producer / EPR entity operating in the state.</x:t>
  </x:si>
  <x:si>
    <x:t xml:space="preserve">Producer / EPR Entity</x:t>
  </x:si>
  <x:si>
    <x:t xml:space="preserve">EPR Registration No.</x:t>
  </x:si>
  <x:si>
    <x:t xml:space="preserve">Compliance Status</x:t>
  </x:si>
  <x:si>
    <x:t xml:space="preserve">Inspection Planned (Y/N)</x:t>
  </x:si>
  <x:si>
    <x:t xml:space="preserve">Inspection Conducted (Y/N)</x:t>
  </x:si>
  <x:si>
    <x:t xml:space="preserve">Penalty / Show-Cause Issued (Y/N)</x:t>
  </x:si>
  <x:si>
    <x:t xml:space="preserve">Penalty Resolved (Y/N)</x:t>
  </x:si>
  <x:si>
    <x:t xml:space="preserve">Informal Sector Hotspots</x:t>
  </x:si>
  <x:si>
    <x:t xml:space="preserve">One row per known informal e-waste recycling hotspot/cluster in the state.</x:t>
  </x:si>
  <x:si>
    <x:t xml:space="preserve">Hotspot / Informal Cluster Name</x:t>
  </x:si>
  <x:si>
    <x:t xml:space="preserve">Status</x:t>
  </x:si>
  <x:si>
    <x:t xml:space="preserve">Estimated Informal Workers</x:t>
  </x:si>
  <x:si>
    <x:t xml:space="preserve">Workers Registered / Trained</x:t>
  </x:si>
  <x:si>
    <x:t xml:space="preserve">Formalization Action Taken</x:t>
  </x:si>
  <x:si>
    <x:t xml:space="preserve">Env Health Monitoring</x:t>
  </x:si>
  <x:si>
    <x:t xml:space="preserve">One row per environmental monitoring visit or health camp conducted at a hotspot.</x:t>
  </x:si>
  <x:si>
    <x:t xml:space="preserve">Site / Hotspot Monitored</x:t>
  </x:si>
  <x:si>
    <x:t xml:space="preserve">Monitoring Type</x:t>
  </x:si>
  <x:si>
    <x:t xml:space="preserve">Date</x:t>
  </x:si>
  <x:si>
    <x:t xml:space="preserve">Result</x:t>
  </x:si>
  <x:si>
    <x:t xml:space="preserve">Health Camp Conducted (Y/N)</x:t>
  </x:si>
  <x:si>
    <x:t xml:space="preserve">Beneficiaries Screened</x:t>
  </x:si>
  <x:si>
    <x:t xml:space="preserve">Awareness Programs</x:t>
  </x:si>
  <x:si>
    <x:t xml:space="preserve">One row per awareness campaign, take-back scheme promotion, or collection drive conducted.</x:t>
  </x:si>
  <x:si>
    <x:t xml:space="preserve">Program Name</x:t>
  </x:si>
  <x:si>
    <x:t xml:space="preserve">Type</x:t>
  </x:si>
  <x:si>
    <x:t xml:space="preserve">Target Audience</x:t>
  </x:si>
  <x:si>
    <x:t xml:space="preserve">Participants Reached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</x:si>
</x:sst>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0.0"/>
    <x:numFmt numFmtId="166" formatCode="0.0%"/>
    <x:numFmt numFmtId="167" formatCode="General"/>
    <x:numFmt numFmtId="200" formatCode="dd-mm-yyyy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10"/>
      <x:color rgb="FF404040"/>
      <x:name val="Arial"/>
    </x:font>
    <x:font>
      <x:b/>
      <x:sz val="12"/>
      <x:color rgb="FFFFFFFF"/>
      <x:name val="Arial"/>
    </x:font>
    <x:font>
      <x:b/>
      <x:sz val="28"/>
      <x:color rgb="FF1F4E78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1"/>
      <x:color rgb="FF1F4E78"/>
      <x:name val="Arial"/>
    </x:font>
    <x:font>
      <x:sz val="10"/>
      <x:name val="Arial"/>
    </x:font>
    <x:font>
      <x:i/>
      <x:sz val="10"/>
      <x:color rgb="FF80808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2E75B6"/>
      </x:patternFill>
    </x:fill>
    <x:fill>
      <x:patternFill patternType="solid">
        <x:fgColor rgb="FFFFFF9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4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5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0" borderId="0" xfId="0" applyFont="1" applyBorder="1" applyAlignment="0">
      <x:alignment horizontal="general" vertical="bottom" wrapText="0"/>
    </x:xf>
    <x:xf numFmtId="164" fontId="6" fillId="2" borderId="0" xfId="0" applyFont="1" applyBorder="1" applyAlignment="1">
      <x:alignment horizontal="center" vertical="center" wrapText="0"/>
    </x:xf>
    <x:xf numFmtId="165" fontId="7" fillId="3" borderId="0" xfId="0" applyFont="1" applyBorder="1" applyAlignment="1">
      <x:alignment horizontal="center" vertical="center" wrapText="0"/>
    </x:xf>
    <x:xf numFmtId="164" fontId="8" fillId="0" borderId="0" xfId="0" applyFont="1" applyBorder="1" applyAlignment="1">
      <x:alignment horizontal="center" vertical="center" wrapText="0"/>
    </x:xf>
    <x:xf numFmtId="164" fontId="9" fillId="4" borderId="1" xfId="0" applyFont="1" applyBorder="1" applyAlignment="1">
      <x:alignment horizontal="center" vertical="center" wrapText="1"/>
    </x:xf>
    <x:xf numFmtId="164" fontId="0" fillId="0" borderId="1" xfId="0" applyFont="0" applyBorder="1" applyAlignment="1">
      <x:alignment horizontal="center" vertical="bottom" wrapText="0"/>
    </x:xf>
    <x:xf numFmtId="164" fontId="10" fillId="0" borderId="1" xfId="0" applyFont="1" applyBorder="1" applyAlignment="1">
      <x:alignment horizontal="general" vertical="center" wrapText="1"/>
    </x:xf>
    <x:xf numFmtId="164" fontId="0" fillId="5" borderId="1" xfId="0" applyFont="0" applyBorder="1" applyAlignment="1">
      <x:alignment horizontal="center" vertical="bottom" wrapText="0"/>
    </x:xf>
    <x:xf numFmtId="166" fontId="0" fillId="0" borderId="1" xfId="0" applyFont="0" applyBorder="1" applyAlignment="1">
      <x:alignment horizontal="center" vertical="bottom" wrapText="0"/>
    </x:xf>
    <x:xf numFmtId="167" fontId="10" fillId="0" borderId="1" xfId="0" applyFont="1" applyBorder="1" applyAlignment="1">
      <x:alignment horizontal="center" vertical="bottom" wrapText="0"/>
    </x:xf>
    <x:xf numFmtId="166" fontId="0" fillId="5" borderId="1" xfId="0" applyFont="0" applyBorder="1" applyAlignment="1">
      <x:alignment horizontal="center" vertical="bottom" wrapText="0"/>
    </x:xf>
    <x:xf numFmtId="164" fontId="0" fillId="3" borderId="1" xfId="0" applyFont="0" applyBorder="1" applyAlignment="0">
      <x:alignment horizontal="general" vertical="bottom" wrapText="0"/>
    </x:xf>
    <x:xf numFmtId="164" fontId="10" fillId="3" borderId="1" xfId="0" applyFont="1" applyBorder="1" applyAlignment="0">
      <x:alignment horizontal="general" vertical="bottom" wrapText="0"/>
    </x:xf>
    <x:xf numFmtId="164" fontId="11" fillId="0" borderId="0" xfId="0" applyFont="1" applyBorder="0" applyAlignment="0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4" fontId="5" fillId="0" borderId="0" xfId="0" applyFont="1" applyBorder="1" applyAlignment="1">
      <x:alignment horizontal="general" vertical="center" wrapText="1"/>
    </x:xf>
    <x:xf numFmtId="164" fontId="10" fillId="0" borderId="1" xfId="0" applyFont="1" applyBorder="1" applyAlignment="0">
      <x:alignment horizontal="general" vertical="bottom" wrapText="0"/>
    </x:xf>
    <x:xf numFmtId="164" fontId="0" fillId="0" borderId="1" xfId="0" applyFont="1" applyBorder="1" applyAlignment="1">
      <x:alignment horizontal="general" vertical="center" wrapText="1"/>
    </x:xf>
    <x:xf numFmtId="164" fontId="12" fillId="0" borderId="0" xfId="0" applyFont="1" applyBorder="1" applyAlignment="1">
      <x:alignment horizontal="general" vertical="center" wrapText="1"/>
    </x:xf>
    <x:xf numFmtId="164" fontId="13" fillId="6" borderId="1" xfId="0" applyFont="1" applyBorder="1" applyAlignment="1">
      <x:alignment horizontal="center" vertical="center" wrapText="1"/>
    </x:xf>
    <x:xf numFmtId="164" fontId="12" fillId="5" borderId="1" xfId="0" applyFont="1" applyBorder="1" applyAlignment="1">
      <x:alignment horizontal="center" vertical="center" wrapText="1"/>
    </x:xf>
    <x:xf numFmtId="164" fontId="12" fillId="7" borderId="1" xfId="0" applyFont="1" applyBorder="1" applyAlignment="1">
      <x:alignment horizontal="center" vertical="center" wrapText="1"/>
    </x:xf>
    <x:xf numFmtId="166" fontId="13" fillId="6" borderId="1" xfId="0" applyFont="1" applyBorder="1" applyAlignment="1">
      <x:alignment horizontal="center" vertical="center" wrapText="1"/>
    </x:xf>
    <x:xf numFmtId="166" fontId="12" fillId="5" borderId="1" xfId="0" applyFont="1" applyBorder="1" applyAlignment="1">
      <x:alignment horizontal="center" vertical="center" wrapText="1"/>
    </x:xf>
    <x:xf numFmtId="166" fontId="10" fillId="3" borderId="1" xfId="0" applyFont="1" applyBorder="1" applyAlignment="0">
      <x:alignment horizontal="general" vertical="bottom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2" borderId="2" xfId="0" applyNumberFormat="1" applyFont="1" applyFill="1" applyBorder="1" applyAlignment="1">
      <x:alignment horizontal="center" vertical="center" wrapText="0"/>
    </x:xf>
    <x:xf numFmtId="164" fontId="5" fillId="0" borderId="2" xfId="0" applyNumberFormat="1" applyFont="1" applyFill="1" applyBorder="1" applyAlignment="1">
      <x:alignment horizontal="general" vertical="bottom" wrapText="0"/>
    </x:xf>
    <x:xf numFmtId="164" fontId="6" fillId="2" borderId="2" xfId="0" applyNumberFormat="1" applyFont="1" applyFill="1" applyBorder="1" applyAlignment="1">
      <x:alignment horizontal="center" vertical="center" wrapText="0"/>
    </x:xf>
    <x:xf numFmtId="165" fontId="7" fillId="3" borderId="2" xfId="0" applyNumberFormat="1" applyFont="1" applyFill="1" applyBorder="1" applyAlignment="1">
      <x:alignment horizontal="center" vertical="center" wrapText="0"/>
    </x:xf>
    <x:xf numFmtId="164" fontId="8" fillId="0" borderId="2" xfId="0" applyNumberFormat="1" applyFont="1" applyFill="1" applyBorder="1" applyAlignment="1">
      <x:alignment horizontal="center" vertical="center" wrapText="0"/>
    </x:xf>
    <x:xf numFmtId="164" fontId="9" fillId="4" borderId="3" xfId="0" applyNumberFormat="1" applyFont="1" applyFill="1" applyBorder="1" applyAlignment="1">
      <x:alignment horizontal="center" vertical="center" wrapText="1"/>
    </x:xf>
    <x:xf numFmtId="164" fontId="0" fillId="0" borderId="3" xfId="0" applyNumberFormat="1" applyFont="1" applyFill="1" applyBorder="1" applyAlignment="1">
      <x:alignment horizontal="center" vertical="bottom" wrapText="0"/>
    </x:xf>
    <x:xf numFmtId="164" fontId="10" fillId="0" borderId="3" xfId="0" applyNumberFormat="1" applyFont="1" applyFill="1" applyBorder="1" applyAlignment="1">
      <x:alignment horizontal="general" vertical="center" wrapText="1"/>
    </x:xf>
    <x:xf numFmtId="164" fontId="0" fillId="5" borderId="3" xfId="0" applyNumberFormat="1" applyFont="1" applyFill="1" applyBorder="1" applyAlignment="1">
      <x:alignment horizontal="center" vertical="bottom" wrapText="0"/>
    </x:xf>
    <x:xf numFmtId="166" fontId="0" fillId="0" borderId="3" xfId="0" applyNumberFormat="1" applyFont="1" applyFill="1" applyBorder="1" applyAlignment="1">
      <x:alignment horizontal="center" vertical="bottom" wrapText="0"/>
    </x:xf>
    <x:xf numFmtId="164" fontId="10" fillId="0" borderId="3" xfId="0" applyNumberFormat="1" applyFont="1" applyFill="1" applyBorder="1" applyAlignment="1">
      <x:alignment horizontal="center" vertical="bottom" wrapText="0"/>
    </x:xf>
    <x:xf numFmtId="166" fontId="0" fillId="5" borderId="3" xfId="0" applyNumberFormat="1" applyFont="1" applyFill="1" applyBorder="1" applyAlignment="1">
      <x:alignment horizontal="center" vertical="bottom" wrapText="0"/>
    </x:xf>
    <x:xf numFmtId="164" fontId="0" fillId="3" borderId="3" xfId="0" applyNumberFormat="1" applyFont="1" applyFill="1" applyBorder="1" applyAlignment="1">
      <x:alignment horizontal="general" vertical="bottom" wrapText="0"/>
    </x:xf>
    <x:xf numFmtId="164" fontId="10" fillId="3" borderId="3" xfId="0" applyNumberFormat="1" applyFont="1" applyFill="1" applyBorder="1" applyAlignment="1">
      <x:alignment horizontal="general" vertical="bottom" wrapText="0"/>
    </x:xf>
    <x:xf numFmtId="164" fontId="11" fillId="0" borderId="2" xfId="0" applyNumberFormat="1" applyFont="1" applyFill="1" applyBorder="1" applyAlignment="1">
      <x:alignment horizontal="general" vertical="bottom" wrapText="0"/>
    </x:xf>
    <x:xf numFmtId="164" fontId="1" fillId="0" borderId="2" xfId="0" applyNumberFormat="1" applyFont="1" applyFill="1" applyBorder="1" applyAlignment="1">
      <x:alignment horizontal="general" vertical="bottom" wrapText="0"/>
    </x:xf>
    <x:xf numFmtId="164" fontId="5" fillId="0" borderId="2" xfId="0" applyNumberFormat="1" applyFont="1" applyFill="1" applyBorder="1" applyAlignment="1">
      <x:alignment horizontal="general" vertical="center" wrapText="1"/>
    </x:xf>
    <x:xf numFmtId="164" fontId="10" fillId="0" borderId="3" xfId="0" applyNumberFormat="1" applyFont="1" applyFill="1" applyBorder="1" applyAlignment="1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center" wrapText="1"/>
    </x:xf>
    <x:xf numFmtId="164" fontId="1" fillId="0" borderId="2" xfId="0" applyNumberFormat="1" applyFont="1" applyFill="1" applyBorder="1" applyAlignment="1">
      <x:alignment horizontal="general" vertical="center" wrapText="1"/>
    </x:xf>
    <x:xf numFmtId="164" fontId="13" fillId="6" borderId="3" xfId="0" applyNumberFormat="1" applyFont="1" applyFill="1" applyBorder="1" applyAlignment="1">
      <x:alignment horizontal="center" vertical="center" wrapText="1"/>
    </x:xf>
    <x:xf numFmtId="164" fontId="1" fillId="5" borderId="3" xfId="0" applyNumberFormat="1" applyFont="1" applyFill="1" applyBorder="1" applyAlignment="1">
      <x:alignment horizontal="center" vertical="center" wrapText="1"/>
    </x:xf>
    <x:xf numFmtId="164" fontId="1" fillId="7" borderId="3" xfId="0" applyNumberFormat="1" applyFont="1" applyFill="1" applyBorder="1" applyAlignment="1">
      <x:alignment horizontal="center" vertical="center" wrapText="1"/>
    </x:xf>
    <x:xf numFmtId="166" fontId="13" fillId="6" borderId="3" xfId="0" applyNumberFormat="1" applyFont="1" applyFill="1" applyBorder="1" applyAlignment="1">
      <x:alignment horizontal="center" vertical="center" wrapText="1"/>
    </x:xf>
    <x:xf numFmtId="166" fontId="1" fillId="5" borderId="3" xfId="0" applyNumberFormat="1" applyFont="1" applyFill="1" applyBorder="1" applyAlignment="1">
      <x:alignment horizontal="center" vertical="center" wrapText="1"/>
    </x:xf>
    <x:xf numFmtId="166" fontId="10" fillId="3" borderId="3" xfId="0" applyNumberFormat="1" applyFont="1" applyFill="1" applyBorder="1" applyAlignment="1">
      <x:alignment horizontal="general" vertical="bottom" wrapText="0"/>
    </x:xf>
    <x:xf numFmtId="200" fontId="13" fillId="6" borderId="1" xfId="0" applyNumberFormat="1" applyFont="1" applyFill="1" applyBorder="1" applyAlignment="1">
      <x:alignment horizontal="center" vertical="center" wrapText="1"/>
    </x:xf>
    <x:xf numFmtId="200" fontId="1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13" fillId="6" borderId="3" xfId="0" applyNumberFormat="1" applyFont="1" applyFill="1" applyBorder="1" applyAlignment="1">
      <x:alignment horizontal="center" vertical="center" wrapText="1"/>
    </x:xf>
    <x:xf numFmtId="200" fontId="1" fillId="5" borderId="3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general" vertical="bottom" wrapText="0"/>
    </x:xf>
    <x:xf numFmtId="164" fontId="9" fillId="4" borderId="1" xfId="0" applyNumberFormat="1" applyFont="1" applyFill="1" applyBorder="1" applyAlignment="1">
      <x:alignment horizontal="center" vertical="center" wrapText="1"/>
    </x:xf>
    <x:xf numFmtId="164" fontId="13" fillId="6" borderId="1" xfId="0" applyNumberFormat="1" applyFont="1" applyFill="1" applyBorder="1" applyAlignment="1">
      <x:alignment horizontal="center" vertical="center" wrapText="1"/>
    </x:xf>
    <x:xf numFmtId="164" fontId="1" fillId="5" borderId="1" xfId="0" applyNumberFormat="1" applyFont="1" applyFill="1" applyBorder="1" applyAlignment="1">
      <x:alignment horizontal="center" vertical="center" wrapText="1"/>
    </x:xf>
    <x:xf numFmtId="164" fontId="1" fillId="7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1"/>
    </x:xf>
    <x:xf numFmtId="164" fontId="10" fillId="3" borderId="1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200" fontId="0" fillId="0" borderId="2" xfId="0" applyNumberFormat="1" applyFont="1" applyFill="1" applyBorder="1" applyAlignment="1">
      <x:alignment horizontal="general" vertical="bottom" wrapText="1"/>
    </x:xf>
    <x:xf numFmtId="164" fontId="10" fillId="3" borderId="3" xfId="0" applyNumberFormat="1" applyFont="1" applyFill="1" applyBorder="1" applyAlignment="1">
      <x:alignment horizontal="general" vertical="bottom" wrapText="1"/>
    </x:xf>
    <x:xf numFmtId="166" fontId="13" fillId="6" borderId="1" xfId="0" applyNumberFormat="1" applyFont="1" applyFill="1" applyBorder="1" applyAlignment="1">
      <x:alignment horizontal="center" vertical="center" wrapText="1"/>
    </x:xf>
    <x:xf numFmtId="166" fontId="1" fillId="5" borderId="1" xfId="0" applyNumberFormat="1" applyFont="1" applyFill="1" applyBorder="1" applyAlignment="1">
      <x:alignment horizontal="center" vertical="center" wrapText="1"/>
    </x:xf>
    <x:xf numFmtId="166" fontId="10" fillId="3" borderId="1" xfId="0" applyNumberFormat="1" applyFont="1" applyFill="1" applyBorder="1" applyAlignment="1">
      <x:alignment horizontal="general" vertical="bottom" wrapText="1"/>
    </x:xf>
    <x:xf numFmtId="166" fontId="10" fillId="3" borderId="3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center" vertical="center" wrapText="0"/>
    </x:xf>
    <x:xf numFmtId="164" fontId="5" fillId="0" borderId="0" xfId="0" applyNumberFormat="1" applyFont="1" applyFill="1" applyBorder="1" applyAlignment="1">
      <x:alignment horizontal="general" vertical="bottom" wrapText="0"/>
    </x:xf>
    <x:xf numFmtId="164" fontId="6" fillId="2" borderId="0" xfId="0" applyNumberFormat="1" applyFont="1" applyFill="1" applyBorder="1" applyAlignment="1">
      <x:alignment horizontal="center" vertical="center" wrapText="0"/>
    </x:xf>
    <x:xf numFmtId="165" fontId="7" fillId="3" borderId="0" xfId="0" applyNumberFormat="1" applyFont="1" applyFill="1" applyBorder="1" applyAlignment="1">
      <x:alignment horizontal="center" vertical="center" wrapText="0"/>
    </x:xf>
    <x:xf numFmtId="164" fontId="8" fillId="0" borderId="0" xfId="0" applyNumberFormat="1" applyFont="1" applyFill="1" applyBorder="1" applyAlignment="1">
      <x:alignment horizontal="center" vertical="center" wrapText="0"/>
    </x:xf>
    <x:xf numFmtId="164" fontId="0" fillId="0" borderId="1" xfId="0" applyNumberFormat="1" applyFont="1" applyFill="1" applyBorder="1" applyAlignment="1">
      <x:alignment horizontal="center" vertical="bottom" wrapText="0"/>
    </x:xf>
    <x:xf numFmtId="164" fontId="10" fillId="0" borderId="1" xfId="0" applyNumberFormat="1" applyFont="1" applyFill="1" applyBorder="1" applyAlignment="1">
      <x:alignment horizontal="general" vertical="center" wrapText="1"/>
    </x:xf>
    <x:xf numFmtId="164" fontId="0" fillId="5" borderId="1" xfId="0" applyNumberFormat="1" applyFont="1" applyFill="1" applyBorder="1" applyAlignment="1">
      <x:alignment horizontal="center" vertical="bottom" wrapText="0"/>
    </x:xf>
    <x:xf numFmtId="166" fontId="0" fillId="0" borderId="1" xfId="0" applyNumberFormat="1" applyFont="1" applyFill="1" applyBorder="1" applyAlignment="1">
      <x:alignment horizontal="center" vertical="bottom" wrapText="0"/>
    </x:xf>
    <x:xf numFmtId="164" fontId="10" fillId="0" borderId="1" xfId="0" applyNumberFormat="1" applyFont="1" applyFill="1" applyBorder="1" applyAlignment="1">
      <x:alignment horizontal="center" vertical="bottom" wrapText="0"/>
    </x:xf>
    <x:xf numFmtId="166" fontId="0" fillId="5" borderId="1" xfId="0" applyNumberFormat="1" applyFont="1" applyFill="1" applyBorder="1" applyAlignment="1">
      <x:alignment horizontal="center" vertical="bottom" wrapText="0"/>
    </x:xf>
    <x:xf numFmtId="164" fontId="0" fillId="3" borderId="1" xfId="0" applyNumberFormat="1" applyFont="1" applyFill="1" applyBorder="1" applyAlignment="1">
      <x:alignment horizontal="general" vertical="bottom" wrapText="0"/>
    </x:xf>
    <x:xf numFmtId="164" fontId="10" fillId="3" borderId="1" xfId="0" applyNumberFormat="1" applyFont="1" applyFill="1" applyBorder="1" applyAlignment="1">
      <x:alignment horizontal="general" vertical="bottom" wrapText="0"/>
    </x:xf>
    <x:xf numFmtId="164" fontId="11" fillId="0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5" fillId="0" borderId="0" xfId="0" applyNumberFormat="1" applyFont="1" applyFill="1" applyBorder="1" applyAlignment="1">
      <x:alignment horizontal="general" vertical="center" wrapText="1"/>
    </x:xf>
    <x:xf numFmtId="164" fontId="10" fillId="0" borderId="1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center" wrapText="1"/>
    </x:xf>
    <x:xf numFmtId="164" fontId="1" fillId="0" borderId="0" xfId="0" applyNumberFormat="1" applyFont="1" applyFill="1" applyBorder="1" applyAlignment="1">
      <x:alignment horizontal="general" vertical="center" wrapText="1"/>
    </x:xf>
    <x:xf numFmtId="166" fontId="10" fillId="3" borderId="1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404040"/>
    </x:indexedColors>
  </x:colors>
</x:styleSheet>
</file>

<file path=xl/_rels/workbook.xml.rels><?xml version="1.0" encoding="UTF-8" standalone="yes"?>
<Relationships xmlns="http://schemas.openxmlformats.org/package/2006/relationships"><Relationship Id="Rbe7218016c7f48f5" Type="http://schemas.openxmlformats.org/officeDocument/2006/relationships/worksheet" Target="/xl/worksheets/sheet1.xml"/><Relationship Id="Ra23f66e42b964e83" Type="http://schemas.openxmlformats.org/officeDocument/2006/relationships/worksheet" Target="/xl/worksheets/sheet5.xml"/><Relationship Id="Rc1f674a73db944dd" Type="http://schemas.openxmlformats.org/officeDocument/2006/relationships/worksheet" Target="/xl/worksheets/sheet8.xml"/><Relationship Id="rId3" Type="http://schemas.openxmlformats.org/officeDocument/2006/relationships/customXml" Target="../customXml/item3.xml"/><Relationship Id="R81db7226a6454a53" Type="http://schemas.openxmlformats.org/officeDocument/2006/relationships/sharedStrings" Target="/xl/sharedStrings.xml"/><Relationship Id="Rabec55ca7e7c40be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43e1abd457f34f23" Type="http://schemas.openxmlformats.org/officeDocument/2006/relationships/worksheet" Target="/xl/worksheets/sheet4.xml"/><Relationship Id="Raeb363ec30c94d45" Type="http://schemas.openxmlformats.org/officeDocument/2006/relationships/worksheet" Target="/xl/worksheets/sheet6.xml"/><Relationship Id="Re6b3df9f461b49dc" Type="http://schemas.openxmlformats.org/officeDocument/2006/relationships/worksheet" Target="/xl/worksheets/sheet2.xml"/><Relationship Id="Re2f70ce955f44a66" Type="http://schemas.openxmlformats.org/officeDocument/2006/relationships/worksheet" Target="/xl/worksheets/sheet9.xml"/><Relationship Id="R3c09ba032bec44d1" Type="http://schemas.openxmlformats.org/officeDocument/2006/relationships/styles" Target="/xl/styles.xml"/><Relationship Id="R11ffeb4edd7a4bec" Type="http://schemas.openxmlformats.org/officeDocument/2006/relationships/theme" Target="/xl/theme/theme1.xml"/><Relationship Id="R154b2d2de9b849ce" Type="http://schemas.openxmlformats.org/officeDocument/2006/relationships/worksheet" Target="/xl/worksheets/sheet7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6" hidden="0" customWidth="1"/>
    <x:col min="3" max="3" width="30" hidden="0" customWidth="1"/>
    <x:col min="4" max="4" width="10" hidden="0" customWidth="1"/>
    <x:col min="5" max="6" width="16" hidden="0" customWidth="1"/>
    <x:col min="7" max="7" width="14" hidden="0" customWidth="1"/>
    <x:col min="8" max="8" width="13" hidden="0" customWidth="1"/>
    <x:col min="9" max="9" width="10" hidden="0" customWidth="1"/>
  </x:cols>
  <x:sheetData>
    <x:row r="2" ht="25.5" hidden="0" customHeight="1">
      <x:c r="A2" s="1" t="s">
        <x:v>0</x:v>
      </x:c>
      <x:c r="B2" s="1"/>
      <x:c r="C2" s="1"/>
      <x:c r="D2" s="1"/>
      <x:c r="E2" s="1"/>
      <x:c r="F2" s="1"/>
      <x:c r="G2" s="1"/>
      <x:c r="H2" s="1"/>
    </x:row>
    <x:row r="3" ht="15" hidden="0">
      <x:c r="B3" s="2" t="s">
        <x:v>1</x:v>
      </x:c>
      <x:c r="C3" s="2"/>
      <x:c r="D3" s="2"/>
      <x:c r="E3" s="2"/>
      <x:c r="F3" s="2"/>
      <x:c r="G3" s="2"/>
      <x:c r="H3" s="2"/>
      <x:c r="I3" s="2"/>
    </x:row>
    <x:row r="5" ht="15" hidden="0">
      <x:c r="B5" s="3" t="s">
        <x:v>2</x:v>
      </x:c>
      <x:c r="C5" s="3"/>
      <x:c r="D5" s="4" t="n">
        <x:f aca="0">ROUND(H17,1)</x:f>
        <x:v>77.8</x:v>
      </x:c>
      <x:c r="E5" s="4"/>
      <x:c r="F5" s="5" t="str">
        <x:f aca="0">IF(H17&gt;=85,"EXCELLENT",IF(H17&gt;=65,"GOOD",IF(H17&gt;=45,"NEEDS IMPROVEMENT","CRITICAL")))</x:f>
        <x:v>GOOD</x:v>
      </x:c>
      <x:c r="G5" s="5"/>
      <x:c r="H5" s="5"/>
      <x:c r="I5" s="5"/>
    </x:row>
    <x:row r="6" ht="15" hidden="0">
      <x:c r="B6" s="3"/>
      <x:c r="C6" s="3"/>
      <x:c r="D6" s="4"/>
      <x:c r="E6" s="4"/>
      <x:c r="F6" s="5"/>
      <x:c r="G6" s="5"/>
      <x:c r="H6" s="5"/>
      <x:c r="I6" s="5"/>
    </x:row>
    <x:row r="7" ht="15" hidden="0">
      <x:c r="B7" s="3"/>
      <x:c r="C7" s="3"/>
      <x:c r="D7" s="4"/>
      <x:c r="E7" s="4"/>
      <x:c r="F7" s="5"/>
      <x:c r="G7" s="5"/>
      <x:c r="H7" s="5"/>
      <x:c r="I7" s="5"/>
    </x:row>
    <x:row r="9" ht="30" hidden="0" customHeight="1">
      <x:c r="B9" s="6" t="s">
        <x:v>3</x:v>
      </x:c>
      <x:c r="C9" s="6" t="s">
        <x:v>4</x:v>
      </x:c>
      <x:c r="D9" s="6" t="s">
        <x:v>5</x:v>
      </x:c>
      <x:c r="E9" s="6" t="s">
        <x:v>6</x:v>
      </x:c>
      <x:c r="F9" s="6" t="s">
        <x:v>7</x:v>
      </x:c>
      <x:c r="G9" s="6" t="s">
        <x:v>8</x:v>
      </x:c>
      <x:c r="H9" s="6" t="s">
        <x:v>9</x:v>
      </x:c>
    </x:row>
    <x:row r="10" ht="30" hidden="0" customHeight="1">
      <x:c r="B10" s="7" t="n">
        <x:v>1</x:v>
      </x:c>
      <x:c r="C10" s="8" t="s">
        <x:v>10</x:v>
      </x:c>
      <x:c r="D10" s="7" t="n">
        <x:v>15</x:v>
      </x:c>
      <x:c r="E10" s="9" t="n">
        <x:v>34</x:v>
      </x:c>
      <x:c r="F10" s="7" t="n">
        <x:f aca="0">COUNTA('1_Generation_Inventory'!B6:B39)</x:f>
        <x:v>34</x:v>
      </x:c>
      <x:c r="G10" s="10" t="n">
        <x:f aca="0">IFERROR(MIN(F10/E10,1),0)</x:f>
        <x:v>1</x:v>
      </x:c>
      <x:c r="H10" s="11" t="n">
        <x:f aca="0">ROUND(G10*D10,1)</x:f>
        <x:v>15</x:v>
      </x:c>
    </x:row>
    <x:row r="11" ht="30" hidden="0" customHeight="1">
      <x:c r="B11" s="7" t="n">
        <x:v>2</x:v>
      </x:c>
      <x:c r="C11" s="8" t="s">
        <x:v>11</x:v>
      </x:c>
      <x:c r="D11" s="7" t="n">
        <x:v>20</x:v>
      </x:c>
      <x:c r="E11" s="12" t="n">
        <x:v>1</x:v>
      </x:c>
      <x:c r="F11" s="10" t="n">
        <x:f aca="0">IFERROR('2_Collection_Log'!D40/'2_Collection_Log'!C40,0)</x:f>
        <x:v>0.6405133892944983</x:v>
      </x:c>
      <x:c r="G11" s="10" t="n">
        <x:f aca="0">IFERROR(MIN(F11/E11,1),0)</x:f>
        <x:v>0.6405133892944983</x:v>
      </x:c>
      <x:c r="H11" s="11" t="n">
        <x:f aca="0">ROUND(G11*D11,1)</x:f>
        <x:v>12.8</x:v>
      </x:c>
    </x:row>
    <x:row r="12" ht="30" hidden="0" customHeight="1">
      <x:c r="B12" s="7" t="n">
        <x:v>3</x:v>
      </x:c>
      <x:c r="C12" s="8" t="s">
        <x:v>12</x:v>
      </x:c>
      <x:c r="D12" s="7" t="n">
        <x:v>20</x:v>
      </x:c>
      <x:c r="E12" s="12" t="n">
        <x:v>1</x:v>
      </x:c>
      <x:c r="F12" s="10" t="n">
        <x:f aca="0">IFERROR(('3_Recycling_Infrastructure'!F40*1000)/'2_Collection_Log'!C40,0)</x:f>
        <x:v>0.7342580454418326</x:v>
      </x:c>
      <x:c r="G12" s="10" t="n">
        <x:f aca="0">IFERROR(MIN(F12/E12,1),0)</x:f>
        <x:v>0.7342580454418326</x:v>
      </x:c>
      <x:c r="H12" s="11" t="n">
        <x:f aca="0">ROUND(G12*D12,1)</x:f>
        <x:v>14.7</x:v>
      </x:c>
    </x:row>
    <x:row r="13" ht="30" hidden="0" customHeight="1">
      <x:c r="B13" s="7" t="n">
        <x:v>4</x:v>
      </x:c>
      <x:c r="C13" s="8" t="s">
        <x:v>13</x:v>
      </x:c>
      <x:c r="D13" s="7" t="n">
        <x:v>15</x:v>
      </x:c>
      <x:c r="E13" s="12" t="n">
        <x:v>1</x:v>
      </x:c>
      <x:c r="F13" s="10" t="n">
        <x:f aca="0">IFERROR('4_Compliance_Tracker'!C41/'4_Compliance_Tracker'!C42,0)</x:f>
        <x:v>0.8529411764705882</x:v>
      </x:c>
      <x:c r="G13" s="10" t="n">
        <x:f aca="0">IFERROR(MIN(F13/E13,1),0)</x:f>
        <x:v>0.8529411764705882</x:v>
      </x:c>
      <x:c r="H13" s="11" t="n">
        <x:f aca="0">ROUND(G13*D13,1)</x:f>
        <x:v>12.8</x:v>
      </x:c>
    </x:row>
    <x:row r="14" ht="30" hidden="0" customHeight="1">
      <x:c r="B14" s="7" t="n">
        <x:v>5</x:v>
      </x:c>
      <x:c r="C14" s="8" t="s">
        <x:v>14</x:v>
      </x:c>
      <x:c r="D14" s="7" t="n">
        <x:v>10</x:v>
      </x:c>
      <x:c r="E14" s="12" t="n">
        <x:v>1</x:v>
      </x:c>
      <x:c r="F14" s="10" t="n">
        <x:f aca="0">IFERROR(('5_Informal_Sector_Hotspots'!C42/'5_Informal_Sector_Hotspots'!C41+'5_Informal_Sector_Hotspots'!C44/'5_Informal_Sector_Hotspots'!C43)/2,0)</x:f>
        <x:v>0.4065359477124183</x:v>
      </x:c>
      <x:c r="G14" s="10" t="n">
        <x:f aca="0">IFERROR(MIN(F14/E14,1),0)</x:f>
        <x:v>0.4065359477124183</x:v>
      </x:c>
      <x:c r="H14" s="11" t="n">
        <x:f aca="0">ROUND(G14*D14,1)</x:f>
        <x:v>4.1</x:v>
      </x:c>
    </x:row>
    <x:row r="15" ht="30" hidden="0" customHeight="1">
      <x:c r="B15" s="7" t="n">
        <x:v>6</x:v>
      </x:c>
      <x:c r="C15" s="8" t="s">
        <x:v>15</x:v>
      </x:c>
      <x:c r="D15" s="7" t="n">
        <x:v>10</x:v>
      </x:c>
      <x:c r="E15" s="12" t="n">
        <x:v>1</x:v>
      </x:c>
      <x:c r="F15" s="10" t="n">
        <x:f aca="0">IFERROR(('6_Env_Health_Monitoring'!C41/'5_Informal_Sector_Hotspots'!C41+'6_Env_Health_Monitoring'!C42/'6_Env_Health_Monitoring'!C41)/2,0)</x:f>
        <x:v>0.8382352941176471</x:v>
      </x:c>
      <x:c r="G15" s="10" t="n">
        <x:f aca="0">IFERROR(MIN(F15/E15,1),0)</x:f>
        <x:v>0.8382352941176471</x:v>
      </x:c>
      <x:c r="H15" s="11" t="n">
        <x:f aca="0">ROUND(G15*D15,1)</x:f>
        <x:v>8.4</x:v>
      </x:c>
    </x:row>
    <x:row r="16" ht="30" hidden="0" customHeight="1">
      <x:c r="B16" s="7" t="n">
        <x:v>7</x:v>
      </x:c>
      <x:c r="C16" s="8" t="s">
        <x:v>16</x:v>
      </x:c>
      <x:c r="D16" s="7" t="n">
        <x:v>10</x:v>
      </x:c>
      <x:c r="E16" s="9" t="n">
        <x:v>1</x:v>
      </x:c>
      <x:c r="F16" s="7" t="n">
        <x:f aca="0">IFERROR('7_Awareness_Programs'!C41/34,0)</x:f>
        <x:v>1</x:v>
      </x:c>
      <x:c r="G16" s="10" t="n">
        <x:f aca="0">IFERROR(MIN(F16/E16,1),0)</x:f>
        <x:v>1</x:v>
      </x:c>
      <x:c r="H16" s="11" t="n">
        <x:f aca="0">ROUND(G16*D16,1)</x:f>
        <x:v>10</x:v>
      </x:c>
    </x:row>
    <x:row r="17" ht="15" hidden="0">
      <x:c r="B17" s="13"/>
      <x:c r="C17" s="14" t="s">
        <x:v>17</x:v>
      </x:c>
      <x:c r="D17" s="14" t="n">
        <x:f aca="0">SUM(D10:D16)</x:f>
        <x:v>100</x:v>
      </x:c>
      <x:c r="E17" s="13"/>
      <x:c r="F17" s="13"/>
      <x:c r="G17" s="13"/>
      <x:c r="H17" s="14" t="n">
        <x:f aca="0">SUM(H10:H16)</x:f>
        <x:v>77.8</x:v>
      </x:c>
    </x:row>
    <x:row r="19" ht="15" hidden="0">
      <x:c r="B19" s="15" t="s">
        <x:v>18</x:v>
      </x:c>
    </x:row>
    <x:row r="20" ht="15" hidden="0">
      <x:c r="B20" s="16" t="s">
        <x:v>19</x:v>
      </x:c>
      <x:c r="C20" s="16" t="s">
        <x:v>20</x:v>
      </x:c>
    </x:row>
    <x:row r="21" ht="15" hidden="0">
      <x:c r="B21" s="16" t="s">
        <x:v>21</x:v>
      </x:c>
      <x:c r="C21" s="16" t="s">
        <x:v>22</x:v>
      </x:c>
    </x:row>
    <x:row r="22" ht="15" hidden="0">
      <x:c r="B22" s="16" t="s">
        <x:v>23</x:v>
      </x:c>
      <x:c r="C22" s="16" t="s">
        <x:v>24</x:v>
      </x:c>
    </x:row>
    <x:row r="23" ht="15" hidden="0">
      <x:c r="B23" s="16" t="s">
        <x:v>25</x:v>
      </x:c>
      <x:c r="C23" s="16" t="s">
        <x:v>26</x:v>
      </x:c>
    </x:row>
  </x:sheetData>
  <x:mergeCells>
    <x:mergeCell ref="A2:H2"/>
    <x:mergeCell ref="B3:I3"/>
    <x:mergeCell ref="B5:C7"/>
    <x:mergeCell ref="D5:E7"/>
    <x:mergeCell ref="F5:I7"/>
  </x:mergeCells>
  <x:conditionalFormatting sqref="D5:D5">
    <x:cfRule type="colorScale" priority="2">
      <x:colorScale>
        <x:cfvo type="num" val="0"/>
        <x:cfvo type="num" val="60"/>
        <x:cfvo type="num" val="100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6" hidden="0" customWidth="1"/>
    <x:col min="3" max="3" width="26" hidden="0" customWidth="1"/>
    <x:col min="4" max="4" width="9" hidden="0" customWidth="1"/>
    <x:col min="5" max="8" width="16" hidden="0" customWidth="1"/>
  </x:cols>
  <x:sheetData>
    <x:row r="2" ht="25.5" hidden="0" customHeight="1">
      <x:c r="A2" s="1" t="s">
        <x:v>27</x:v>
      </x:c>
      <x:c r="B2" s="1"/>
      <x:c r="C2" s="1"/>
      <x:c r="D2" s="1"/>
      <x:c r="E2" s="1"/>
      <x:c r="F2" s="1"/>
      <x:c r="G2" s="1"/>
    </x:row>
    <x:row r="4" ht="30" hidden="0" customHeight="1">
      <x:c r="B4" s="17" t="s">
        <x:v>28</x:v>
      </x:c>
      <x:c r="C4" s="17"/>
      <x:c r="D4" s="17"/>
      <x:c r="E4" s="17"/>
      <x:c r="F4" s="17"/>
      <x:c r="G4" s="17"/>
      <x:c r="H4" s="17"/>
    </x:row>
    <x:row r="6" ht="23.850000381469727" hidden="0">
      <x:c r="B6" s="6" t="s">
        <x:v>3</x:v>
      </x:c>
      <x:c r="C6" s="6" t="s">
        <x:v>4</x:v>
      </x:c>
      <x:c r="D6" s="6" t="s">
        <x:v>5</x:v>
      </x:c>
      <x:c r="E6" s="6" t="s">
        <x:v>29</x:v>
      </x:c>
    </x:row>
    <x:row r="7" ht="30" hidden="0" customHeight="1">
      <x:c r="B7" s="7" t="n">
        <x:v>1</x:v>
      </x:c>
      <x:c r="C7" s="18" t="s">
        <x:v>10</x:v>
      </x:c>
      <x:c r="D7" s="7" t="n">
        <x:v>15</x:v>
      </x:c>
      <x:c r="E7" s="19" t="s">
        <x:v>30</x:v>
      </x:c>
      <x:c r="F7" s="19"/>
      <x:c r="G7" s="19"/>
      <x:c r="H7" s="19"/>
    </x:row>
    <x:row r="8" ht="30" hidden="0" customHeight="1">
      <x:c r="B8" s="7" t="n">
        <x:v>2</x:v>
      </x:c>
      <x:c r="C8" s="18" t="s">
        <x:v>11</x:v>
      </x:c>
      <x:c r="D8" s="7" t="n">
        <x:v>20</x:v>
      </x:c>
      <x:c r="E8" s="19" t="s">
        <x:v>31</x:v>
      </x:c>
      <x:c r="F8" s="19"/>
      <x:c r="G8" s="19"/>
      <x:c r="H8" s="19"/>
    </x:row>
    <x:row r="9" ht="30" hidden="0" customHeight="1">
      <x:c r="B9" s="7" t="n">
        <x:v>3</x:v>
      </x:c>
      <x:c r="C9" s="18" t="s">
        <x:v>12</x:v>
      </x:c>
      <x:c r="D9" s="7" t="n">
        <x:v>20</x:v>
      </x:c>
      <x:c r="E9" s="19" t="s">
        <x:v>32</x:v>
      </x:c>
      <x:c r="F9" s="19"/>
      <x:c r="G9" s="19"/>
      <x:c r="H9" s="19"/>
    </x:row>
    <x:row r="10" ht="30" hidden="0" customHeight="1">
      <x:c r="B10" s="7" t="n">
        <x:v>4</x:v>
      </x:c>
      <x:c r="C10" s="18" t="s">
        <x:v>13</x:v>
      </x:c>
      <x:c r="D10" s="7" t="n">
        <x:v>15</x:v>
      </x:c>
      <x:c r="E10" s="19" t="s">
        <x:v>33</x:v>
      </x:c>
      <x:c r="F10" s="19"/>
      <x:c r="G10" s="19"/>
      <x:c r="H10" s="19"/>
    </x:row>
    <x:row r="11" ht="30" hidden="0" customHeight="1">
      <x:c r="B11" s="7" t="n">
        <x:v>5</x:v>
      </x:c>
      <x:c r="C11" s="18" t="s">
        <x:v>14</x:v>
      </x:c>
      <x:c r="D11" s="7" t="n">
        <x:v>10</x:v>
      </x:c>
      <x:c r="E11" s="19" t="s">
        <x:v>34</x:v>
      </x:c>
      <x:c r="F11" s="19"/>
      <x:c r="G11" s="19"/>
      <x:c r="H11" s="19"/>
    </x:row>
    <x:row r="12" ht="30" hidden="0" customHeight="1">
      <x:c r="B12" s="7" t="n">
        <x:v>6</x:v>
      </x:c>
      <x:c r="C12" s="18" t="s">
        <x:v>15</x:v>
      </x:c>
      <x:c r="D12" s="7" t="n">
        <x:v>10</x:v>
      </x:c>
      <x:c r="E12" s="19" t="s">
        <x:v>35</x:v>
      </x:c>
      <x:c r="F12" s="19"/>
      <x:c r="G12" s="19"/>
      <x:c r="H12" s="19"/>
    </x:row>
    <x:row r="13" ht="30" hidden="0" customHeight="1">
      <x:c r="B13" s="7" t="n">
        <x:v>7</x:v>
      </x:c>
      <x:c r="C13" s="18" t="s">
        <x:v>16</x:v>
      </x:c>
      <x:c r="D13" s="7" t="n">
        <x:v>10</x:v>
      </x:c>
      <x:c r="E13" s="19" t="s">
        <x:v>36</x:v>
      </x:c>
      <x:c r="F13" s="19"/>
      <x:c r="G13" s="19"/>
      <x:c r="H13" s="19"/>
    </x:row>
    <x:row r="14" ht="15" hidden="0">
      <x:c r="B14" s="13"/>
      <x:c r="C14" s="14" t="s">
        <x:v>37</x:v>
      </x:c>
      <x:c r="D14" s="14" t="n">
        <x:v>100</x:v>
      </x:c>
      <x:c r="E14" s="13"/>
      <x:c r="F14" s="13"/>
      <x:c r="G14" s="13"/>
      <x:c r="H14" s="13"/>
    </x:row>
    <x:row r="16" ht="15" hidden="0">
      <x:c r="B16" s="15" t="s">
        <x:v>38</x:v>
      </x:c>
    </x:row>
    <x:row r="17" ht="25.5" hidden="0" customHeight="1">
      <x:c r="B17" s="20" t="s">
        <x:v>39</x:v>
      </x:c>
      <x:c r="C17" s="20"/>
      <x:c r="D17" s="20"/>
      <x:c r="E17" s="20"/>
      <x:c r="F17" s="20"/>
      <x:c r="G17" s="20"/>
      <x:c r="H17" s="20"/>
    </x:row>
    <x:row r="18" ht="25.5" hidden="0" customHeight="1">
      <x:c r="B18" s="20" t="str">
        <x:v>Data note</x:v>
      </x:c>
      <x:c r="C18" s="20" t="str">
        <x:v>The workbook has been populated for all 34 Gujarat districts. Population values are based on Census-2011-era district totals and administrative split estimates. Operational e-waste, collection, recycling, compliance, health and awareness figures are academic planning estimates—not official reported statistics.</x:v>
      </x:c>
      <x:c r="D18" s="20"/>
      <x:c r="E18" s="20"/>
      <x:c r="F18" s="20"/>
      <x:c r="G18" s="20"/>
      <x:c r="H18" s="20"/>
    </x:row>
    <x:row r="19" ht="25.5" hidden="0" customHeight="1">
      <x:c r="B19" s="20" t="str">
        <x:v>District source</x:v>
      </x:c>
      <x:c r="C19" s="20" t="str">
        <x:v>https://vavtharad.nic.in/about-district/history/</x:v>
      </x:c>
      <x:c r="D19" s="20"/>
      <x:c r="E19" s="20"/>
      <x:c r="F19" s="20"/>
      <x:c r="G19" s="20"/>
      <x:c r="H19" s="20"/>
    </x:row>
    <x:row r="20" ht="25.5" hidden="0" customHeight="1">
      <x:c r="B20" s="20" t="str">
        <x:v>Population reference</x:v>
      </x:c>
      <x:c r="C20" s="20" t="str">
        <x:v>https://trti.gujarat.gov.in/district-wise-population</x:v>
      </x:c>
      <x:c r="D20" s="20"/>
      <x:c r="E20" s="20"/>
      <x:c r="F20" s="20"/>
      <x:c r="G20" s="20"/>
      <x:c r="H20" s="20"/>
    </x:row>
    <x:row r="21" ht="25.5" hidden="0" customHeight="1">
      <x:c r="B21" s="20" t="str">
        <x:v>E-waste reference</x:v>
      </x:c>
      <x:c r="C21" s="20" t="str">
        <x:v>https://gpcb.gujarat.gov.in/Home/EWaste</x:v>
      </x:c>
      <x:c r="D21" s="20"/>
      <x:c r="E21" s="20"/>
      <x:c r="F21" s="20"/>
      <x:c r="G21" s="20"/>
      <x:c r="H21" s="20"/>
    </x:row>
  </x:sheetData>
  <x:mergeCells>
    <x:mergeCell ref="A2:G2"/>
    <x:mergeCell ref="B4:H4"/>
    <x:mergeCell ref="E7:H7"/>
    <x:mergeCell ref="E8:H8"/>
    <x:mergeCell ref="E9:H9"/>
    <x:mergeCell ref="E10:H10"/>
    <x:mergeCell ref="E11:H11"/>
    <x:mergeCell ref="E12:H12"/>
    <x:mergeCell ref="E13:H13"/>
    <x:mergeCell ref="B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0" hidden="0" customWidth="1"/>
    <x:col min="3" max="3" width="14" hidden="0" customWidth="1"/>
    <x:col min="4" max="4" width="16" hidden="0" customWidth="1"/>
    <x:col min="5" max="5" width="22" hidden="0" customWidth="1"/>
    <x:col min="6" max="6" width="20" hidden="0" customWidth="1"/>
    <x:col min="7" max="7" width="16" hidden="0" customWidth="1"/>
    <x:col min="8" max="8" width="14" hidden="0" customWidth="1"/>
    <x:col min="9" max="9" width="14" hidden="0" customWidth="1"/>
    <x:col min="10" max="10" width="18" hidden="0" customWidth="1"/>
    <x:col min="11" max="11" width="16" hidden="0" customWidth="1"/>
  </x:cols>
  <x:sheetData>
    <x:row r="2" ht="25.5" hidden="0" customHeight="1">
      <x:c r="A2" s="1" t="s">
        <x:v>40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15" hidden="0">
      <x:c r="B3" s="2" t="s">
        <x:v>41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5" ht="24" hidden="0" customHeight="1">
      <x:c r="B5" s="60" t="s">
        <x:v>42</x:v>
      </x:c>
      <x:c r="C5" s="60" t="s">
        <x:v>43</x:v>
      </x:c>
      <x:c r="D5" s="60" t="s">
        <x:v>44</x:v>
      </x:c>
      <x:c r="E5" s="60" t="s">
        <x:v>45</x:v>
      </x:c>
      <x:c r="F5" s="60" t="s">
        <x:v>46</x:v>
      </x:c>
      <x:c r="G5" s="60" t="s">
        <x:v>47</x:v>
      </x:c>
      <x:c r="H5" s="60" t="s">
        <x:v>48</x:v>
      </x:c>
      <x:c r="I5" s="60" t="s">
        <x:v>49</x:v>
      </x:c>
      <x:c r="J5" s="60" t="s">
        <x:v>50</x:v>
      </x:c>
      <x:c r="K5" s="60" t="s">
        <x:v>51</x:v>
      </x:c>
    </x:row>
    <x:row r="6" ht="15" hidden="0" customHeight="1">
      <x:c r="B6" s="61" t="str">
        <x:v>Ahmedabad</x:v>
      </x:c>
      <x:c r="C6" s="61" t="n">
        <x:v>7208200</x:v>
      </x:c>
      <x:c r="D6" s="61" t="n">
        <x:v>3697807</x:v>
      </x:c>
      <x:c r="E6" s="61" t="n">
        <x:v>2140835</x:v>
      </x:c>
      <x:c r="F6" s="61" t="n">
        <x:v>1556971</x:v>
      </x:c>
      <x:c r="G6" s="61" t="n">
        <x:v>583864</x:v>
      </x:c>
      <x:c r="H6" s="61" t="n">
        <x:v>973107</x:v>
      </x:c>
      <x:c r="I6" s="61" t="n">
        <x:v>778486</x:v>
      </x:c>
      <x:c r="J6" s="61" t="n">
        <x:f aca="0">SUM(D6:I6)</x:f>
        <x:v>9731070</x:v>
      </x:c>
      <x:c r="K6" s="54" t="n">
        <x:v>46203</x:v>
      </x:c>
    </x:row>
    <x:row r="7" ht="15" hidden="0" customHeight="1">
      <x:c r="B7" s="62" t="str">
        <x:v>Amreli</x:v>
      </x:c>
      <x:c r="C7" s="62" t="n">
        <x:v>1513614</x:v>
      </x:c>
      <x:c r="D7" s="62" t="n">
        <x:v>356608</x:v>
      </x:c>
      <x:c r="E7" s="62" t="n">
        <x:v>206457</x:v>
      </x:c>
      <x:c r="F7" s="62" t="n">
        <x:v>150151</x:v>
      </x:c>
      <x:c r="G7" s="62" t="n">
        <x:v>56306</x:v>
      </x:c>
      <x:c r="H7" s="62" t="n">
        <x:v>93844</x:v>
      </x:c>
      <x:c r="I7" s="62" t="n">
        <x:v>75075</x:v>
      </x:c>
      <x:c r="J7" s="63" t="n">
        <x:f aca="0">SUM(D7:I7)</x:f>
        <x:v>938441</x:v>
      </x:c>
      <x:c r="K7" s="55" t="n">
        <x:v>46203</x:v>
      </x:c>
    </x:row>
    <x:row r="8" ht="15" hidden="0" customHeight="1">
      <x:c r="B8" s="62" t="str">
        <x:v>Anand</x:v>
      </x:c>
      <x:c r="C8" s="62" t="n">
        <x:v>2090276</x:v>
      </x:c>
      <x:c r="D8" s="62" t="n">
        <x:v>698988</x:v>
      </x:c>
      <x:c r="E8" s="62" t="n">
        <x:v>404677</x:v>
      </x:c>
      <x:c r="F8" s="62" t="n">
        <x:v>294311</x:v>
      </x:c>
      <x:c r="G8" s="62" t="n">
        <x:v>110367</x:v>
      </x:c>
      <x:c r="H8" s="62" t="n">
        <x:v>183944</x:v>
      </x:c>
      <x:c r="I8" s="62" t="n">
        <x:v>147156</x:v>
      </x:c>
      <x:c r="J8" s="63" t="n">
        <x:f aca="0">SUM(D8:I8)</x:f>
        <x:v>1839443</x:v>
      </x:c>
      <x:c r="K8" s="55" t="n">
        <x:v>46203</x:v>
      </x:c>
    </x:row>
    <x:row r="9" ht="15" hidden="0" customHeight="1">
      <x:c r="B9" s="62" t="str">
        <x:v>Aravalli</x:v>
      </x:c>
      <x:c r="C9" s="62" t="n">
        <x:v>1051746</x:v>
      </x:c>
      <x:c r="D9" s="62" t="n">
        <x:v>219815</x:v>
      </x:c>
      <x:c r="E9" s="62" t="n">
        <x:v>127261</x:v>
      </x:c>
      <x:c r="F9" s="62" t="n">
        <x:v>92554</x:v>
      </x:c>
      <x:c r="G9" s="62" t="n">
        <x:v>34708</x:v>
      </x:c>
      <x:c r="H9" s="62" t="n">
        <x:v>57846</x:v>
      </x:c>
      <x:c r="I9" s="62" t="n">
        <x:v>46276</x:v>
      </x:c>
      <x:c r="J9" s="63" t="n">
        <x:f aca="0">SUM(D9:I9)</x:f>
        <x:v>578460</x:v>
      </x:c>
      <x:c r="K9" s="55" t="n">
        <x:v>46203</x:v>
      </x:c>
    </x:row>
    <x:row r="10" ht="15" hidden="0" customHeight="1">
      <x:c r="B10" s="62" t="str">
        <x:v>Banaskantha</x:v>
      </x:c>
      <x:c r="C10" s="62" t="n">
        <x:v>2141666</x:v>
      </x:c>
      <x:c r="D10" s="62" t="n">
        <x:v>472023</x:v>
      </x:c>
      <x:c r="E10" s="62" t="n">
        <x:v>273277</x:v>
      </x:c>
      <x:c r="F10" s="62" t="n">
        <x:v>198747</x:v>
      </x:c>
      <x:c r="G10" s="62" t="n">
        <x:v>74530</x:v>
      </x:c>
      <x:c r="H10" s="62" t="n">
        <x:v>124217</x:v>
      </x:c>
      <x:c r="I10" s="62" t="n">
        <x:v>99372</x:v>
      </x:c>
      <x:c r="J10" s="63" t="n">
        <x:f aca="0">SUM(D10:I10)</x:f>
        <x:v>1242166</x:v>
      </x:c>
      <x:c r="K10" s="55" t="n">
        <x:v>46203</x:v>
      </x:c>
    </x:row>
    <x:row r="11" ht="15" hidden="0" customHeight="1">
      <x:c r="B11" s="62" t="str">
        <x:v>Bharuch</x:v>
      </x:c>
      <x:c r="C11" s="62" t="n">
        <x:v>1550822</x:v>
      </x:c>
      <x:c r="D11" s="62" t="n">
        <x:v>559847</x:v>
      </x:c>
      <x:c r="E11" s="62" t="n">
        <x:v>324122</x:v>
      </x:c>
      <x:c r="F11" s="62" t="n">
        <x:v>235725</x:v>
      </x:c>
      <x:c r="G11" s="62" t="n">
        <x:v>88397</x:v>
      </x:c>
      <x:c r="H11" s="62" t="n">
        <x:v>147328</x:v>
      </x:c>
      <x:c r="I11" s="62" t="n">
        <x:v>117862</x:v>
      </x:c>
      <x:c r="J11" s="63" t="n">
        <x:f aca="0">SUM(D11:I11)</x:f>
        <x:v>1473281</x:v>
      </x:c>
      <x:c r="K11" s="55" t="n">
        <x:v>46203</x:v>
      </x:c>
    </x:row>
    <x:row r="12" ht="15" hidden="0" customHeight="1">
      <x:c r="B12" s="62" t="str">
        <x:v>Bhavnagar</x:v>
      </x:c>
      <x:c r="C12" s="62" t="n">
        <x:v>2877961</x:v>
      </x:c>
      <x:c r="D12" s="62" t="n">
        <x:v>896773</x:v>
      </x:c>
      <x:c r="E12" s="62" t="n">
        <x:v>519184</x:v>
      </x:c>
      <x:c r="F12" s="62" t="n">
        <x:v>377588</x:v>
      </x:c>
      <x:c r="G12" s="62" t="n">
        <x:v>141596</x:v>
      </x:c>
      <x:c r="H12" s="62" t="n">
        <x:v>235993</x:v>
      </x:c>
      <x:c r="I12" s="62" t="n">
        <x:v>188794</x:v>
      </x:c>
      <x:c r="J12" s="63" t="n">
        <x:f aca="0">SUM(D12:I12)</x:f>
        <x:v>2359928</x:v>
      </x:c>
      <x:c r="K12" s="55" t="n">
        <x:v>46203</x:v>
      </x:c>
    </x:row>
    <x:row r="13" ht="15" hidden="0" customHeight="1">
      <x:c r="B13" s="62" t="str">
        <x:v>Botad</x:v>
      </x:c>
      <x:c r="C13" s="62" t="n">
        <x:v>656005</x:v>
      </x:c>
      <x:c r="D13" s="62" t="n">
        <x:v>144584</x:v>
      </x:c>
      <x:c r="E13" s="62" t="n">
        <x:v>83706</x:v>
      </x:c>
      <x:c r="F13" s="62" t="n">
        <x:v>60877</x:v>
      </x:c>
      <x:c r="G13" s="62" t="n">
        <x:v>22829</x:v>
      </x:c>
      <x:c r="H13" s="62" t="n">
        <x:v>38048</x:v>
      </x:c>
      <x:c r="I13" s="62" t="n">
        <x:v>30439</x:v>
      </x:c>
      <x:c r="J13" s="63" t="n">
        <x:f aca="0">SUM(D13:I13)</x:f>
        <x:v>380483</x:v>
      </x:c>
      <x:c r="K13" s="55" t="n">
        <x:v>46203</x:v>
      </x:c>
    </x:row>
    <x:row r="14" ht="15" hidden="0" customHeight="1">
      <x:c r="B14" s="62" t="str">
        <x:v>Chhota Udaipur</x:v>
      </x:c>
      <x:c r="C14" s="62" t="n">
        <x:v>1071831</x:v>
      </x:c>
      <x:c r="D14" s="62" t="n">
        <x:v>187356</x:v>
      </x:c>
      <x:c r="E14" s="62" t="n">
        <x:v>108469</x:v>
      </x:c>
      <x:c r="F14" s="62" t="n">
        <x:v>78887</x:v>
      </x:c>
      <x:c r="G14" s="62" t="n">
        <x:v>29583</x:v>
      </x:c>
      <x:c r="H14" s="62" t="n">
        <x:v>49304</x:v>
      </x:c>
      <x:c r="I14" s="62" t="n">
        <x:v>39443</x:v>
      </x:c>
      <x:c r="J14" s="63" t="n">
        <x:f aca="0">SUM(D14:I14)</x:f>
        <x:v>493042</x:v>
      </x:c>
      <x:c r="K14" s="55" t="n">
        <x:v>46203</x:v>
      </x:c>
    </x:row>
    <x:row r="15" ht="15" hidden="0" customHeight="1">
      <x:c r="B15" s="62" t="str">
        <x:v>Dahod</x:v>
      </x:c>
      <x:c r="C15" s="62" t="n">
        <x:v>2126558</x:v>
      </x:c>
      <x:c r="D15" s="62" t="n">
        <x:v>379803</x:v>
      </x:c>
      <x:c r="E15" s="62" t="n">
        <x:v>219886</x:v>
      </x:c>
      <x:c r="F15" s="62" t="n">
        <x:v>159917</x:v>
      </x:c>
      <x:c r="G15" s="62" t="n">
        <x:v>59969</x:v>
      </x:c>
      <x:c r="H15" s="62" t="n">
        <x:v>99948</x:v>
      </x:c>
      <x:c r="I15" s="62" t="n">
        <x:v>79959</x:v>
      </x:c>
      <x:c r="J15" s="63" t="n">
        <x:f aca="0">SUM(D15:I15)</x:f>
        <x:v>999482</x:v>
      </x:c>
      <x:c r="K15" s="55" t="n">
        <x:v>46203</x:v>
      </x:c>
    </x:row>
    <x:row r="16" ht="15" hidden="0" customHeight="1">
      <x:c r="B16" s="62" t="str">
        <x:v>Dang</x:v>
      </x:c>
      <x:c r="C16" s="62" t="n">
        <x:v>226769</x:v>
      </x:c>
      <x:c r="D16" s="62" t="n">
        <x:v>34469</x:v>
      </x:c>
      <x:c r="E16" s="62" t="n">
        <x:v>19956</x:v>
      </x:c>
      <x:c r="F16" s="62" t="n">
        <x:v>14513</x:v>
      </x:c>
      <x:c r="G16" s="62" t="n">
        <x:v>5442</x:v>
      </x:c>
      <x:c r="H16" s="62" t="n">
        <x:v>9071</x:v>
      </x:c>
      <x:c r="I16" s="62" t="n">
        <x:v>7257</x:v>
      </x:c>
      <x:c r="J16" s="63" t="n">
        <x:f aca="0">SUM(D16:I16)</x:f>
        <x:v>90708</x:v>
      </x:c>
      <x:c r="K16" s="55" t="n">
        <x:v>46203</x:v>
      </x:c>
    </x:row>
    <x:row r="17" ht="15" hidden="0" customHeight="1">
      <x:c r="B17" s="62" t="str">
        <x:v>Devbhoomi Dwarka</x:v>
      </x:c>
      <x:c r="C17" s="62" t="n">
        <x:v>752484</x:v>
      </x:c>
      <x:c r="D17" s="62" t="n">
        <x:v>180145</x:v>
      </x:c>
      <x:c r="E17" s="62" t="n">
        <x:v>104294</x:v>
      </x:c>
      <x:c r="F17" s="62" t="n">
        <x:v>75850</x:v>
      </x:c>
      <x:c r="G17" s="62" t="n">
        <x:v>28444</x:v>
      </x:c>
      <x:c r="H17" s="62" t="n">
        <x:v>47406</x:v>
      </x:c>
      <x:c r="I17" s="62" t="n">
        <x:v>37926</x:v>
      </x:c>
      <x:c r="J17" s="63" t="n">
        <x:f aca="0">SUM(D17:I17)</x:f>
        <x:v>474065</x:v>
      </x:c>
      <x:c r="K17" s="55" t="n">
        <x:v>46203</x:v>
      </x:c>
    </x:row>
    <x:row r="18" ht="15" hidden="0" customHeight="1">
      <x:c r="B18" s="62" t="str">
        <x:v>Gandhinagar</x:v>
      </x:c>
      <x:c r="C18" s="62" t="n">
        <x:v>1387478</x:v>
      </x:c>
      <x:c r="D18" s="62" t="n">
        <x:v>606328</x:v>
      </x:c>
      <x:c r="E18" s="62" t="n">
        <x:v>351032</x:v>
      </x:c>
      <x:c r="F18" s="62" t="n">
        <x:v>255296</x:v>
      </x:c>
      <x:c r="G18" s="62" t="n">
        <x:v>95736</x:v>
      </x:c>
      <x:c r="H18" s="62" t="n">
        <x:v>159560</x:v>
      </x:c>
      <x:c r="I18" s="62" t="n">
        <x:v>127648</x:v>
      </x:c>
      <x:c r="J18" s="63" t="n">
        <x:f aca="0">SUM(D18:I18)</x:f>
        <x:v>1595600</x:v>
      </x:c>
      <x:c r="K18" s="55" t="n">
        <x:v>46203</x:v>
      </x:c>
    </x:row>
    <x:row r="19" ht="15" hidden="0" customHeight="1">
      <x:c r="B19" s="62" t="str">
        <x:v>Gir Somnath</x:v>
      </x:c>
      <x:c r="C19" s="62" t="n">
        <x:v>1217477</x:v>
      </x:c>
      <x:c r="D19" s="62" t="n">
        <x:v>323849</x:v>
      </x:c>
      <x:c r="E19" s="62" t="n">
        <x:v>187491</x:v>
      </x:c>
      <x:c r="F19" s="62" t="n">
        <x:v>136357</x:v>
      </x:c>
      <x:c r="G19" s="62" t="n">
        <x:v>51134</x:v>
      </x:c>
      <x:c r="H19" s="62" t="n">
        <x:v>85223</x:v>
      </x:c>
      <x:c r="I19" s="62" t="n">
        <x:v>68180</x:v>
      </x:c>
      <x:c r="J19" s="63" t="n">
        <x:f aca="0">SUM(D19:I19)</x:f>
        <x:v>852234</x:v>
      </x:c>
      <x:c r="K19" s="55" t="n">
        <x:v>46203</x:v>
      </x:c>
    </x:row>
    <x:row r="20" ht="15" hidden="0" customHeight="1">
      <x:c r="B20" s="62" t="str">
        <x:v>Jamnagar</x:v>
      </x:c>
      <x:c r="C20" s="62" t="n">
        <x:v>2159130</x:v>
      </x:c>
      <x:c r="D20" s="62" t="n">
        <x:v>722013</x:v>
      </x:c>
      <x:c r="E20" s="62" t="n">
        <x:v>418007</x:v>
      </x:c>
      <x:c r="F20" s="62" t="n">
        <x:v>304005</x:v>
      </x:c>
      <x:c r="G20" s="62" t="n">
        <x:v>114002</x:v>
      </x:c>
      <x:c r="H20" s="62" t="n">
        <x:v>190003</x:v>
      </x:c>
      <x:c r="I20" s="62" t="n">
        <x:v>152004</x:v>
      </x:c>
      <x:c r="J20" s="63" t="n">
        <x:f aca="0">SUM(D20:I20)</x:f>
        <x:v>1900034</x:v>
      </x:c>
      <x:c r="K20" s="55" t="n">
        <x:v>46203</x:v>
      </x:c>
    </x:row>
    <x:row r="21" ht="15" hidden="0" customHeight="1">
      <x:c r="B21" s="62" t="str">
        <x:v>Junagadh</x:v>
      </x:c>
      <x:c r="C21" s="62" t="n">
        <x:v>2742291</x:v>
      </x:c>
      <x:c r="D21" s="62" t="n">
        <x:v>750291</x:v>
      </x:c>
      <x:c r="E21" s="62" t="n">
        <x:v>434379</x:v>
      </x:c>
      <x:c r="F21" s="62" t="n">
        <x:v>315912</x:v>
      </x:c>
      <x:c r="G21" s="62" t="n">
        <x:v>118467</x:v>
      </x:c>
      <x:c r="H21" s="62" t="n">
        <x:v>197445</x:v>
      </x:c>
      <x:c r="I21" s="62" t="n">
        <x:v>157956</x:v>
      </x:c>
      <x:c r="J21" s="63" t="n">
        <x:f aca="0">SUM(D21:I21)</x:f>
        <x:v>1974450</x:v>
      </x:c>
      <x:c r="K21" s="55" t="n">
        <x:v>46203</x:v>
      </x:c>
    </x:row>
    <x:row r="22" ht="15" hidden="0" customHeight="1">
      <x:c r="B22" s="62" t="str">
        <x:v>Kheda</x:v>
      </x:c>
      <x:c r="C22" s="62" t="n">
        <x:v>2298934</x:v>
      </x:c>
      <x:c r="D22" s="62" t="n">
        <x:v>681404</x:v>
      </x:c>
      <x:c r="E22" s="62" t="n">
        <x:v>394497</x:v>
      </x:c>
      <x:c r="F22" s="62" t="n">
        <x:v>286907</x:v>
      </x:c>
      <x:c r="G22" s="62" t="n">
        <x:v>107590</x:v>
      </x:c>
      <x:c r="H22" s="62" t="n">
        <x:v>179317</x:v>
      </x:c>
      <x:c r="I22" s="62" t="n">
        <x:v>143454</x:v>
      </x:c>
      <x:c r="J22" s="63" t="n">
        <x:f aca="0">SUM(D22:I22)</x:f>
        <x:v>1793169</x:v>
      </x:c>
      <x:c r="K22" s="55" t="n">
        <x:v>46203</x:v>
      </x:c>
    </x:row>
    <x:row r="23" ht="15" hidden="0" customHeight="1">
      <x:c r="B23" s="62" t="str">
        <x:v>Kutch</x:v>
      </x:c>
      <x:c r="C23" s="62" t="n">
        <x:v>2090313</x:v>
      </x:c>
      <x:c r="D23" s="62" t="n">
        <x:v>651342</x:v>
      </x:c>
      <x:c r="E23" s="62" t="n">
        <x:v>377093</x:v>
      </x:c>
      <x:c r="F23" s="62" t="n">
        <x:v>274249</x:v>
      </x:c>
      <x:c r="G23" s="62" t="n">
        <x:v>102843</x:v>
      </x:c>
      <x:c r="H23" s="62" t="n">
        <x:v>171406</x:v>
      </x:c>
      <x:c r="I23" s="62" t="n">
        <x:v>137124</x:v>
      </x:c>
      <x:c r="J23" s="63" t="n">
        <x:f aca="0">SUM(D23:I23)</x:f>
        <x:v>1714057</x:v>
      </x:c>
      <x:c r="K23" s="55" t="n">
        <x:v>46203</x:v>
      </x:c>
    </x:row>
    <x:row r="24" ht="15" hidden="0" customHeight="1">
      <x:c r="B24" s="62" t="str">
        <x:v>Mahisagar</x:v>
      </x:c>
      <x:c r="C24" s="62" t="n">
        <x:v>994624</x:v>
      </x:c>
      <x:c r="D24" s="62" t="n">
        <x:v>188979</x:v>
      </x:c>
      <x:c r="E24" s="62" t="n">
        <x:v>109409</x:v>
      </x:c>
      <x:c r="F24" s="62" t="n">
        <x:v>79570</x:v>
      </x:c>
      <x:c r="G24" s="62" t="n">
        <x:v>29839</x:v>
      </x:c>
      <x:c r="H24" s="62" t="n">
        <x:v>49731</x:v>
      </x:c>
      <x:c r="I24" s="62" t="n">
        <x:v>39784</x:v>
      </x:c>
      <x:c r="J24" s="63" t="n">
        <x:f aca="0">SUM(D24:I24)</x:f>
        <x:v>497312</x:v>
      </x:c>
      <x:c r="K24" s="55" t="n">
        <x:v>46203</x:v>
      </x:c>
    </x:row>
    <x:row r="25" ht="15" hidden="0" customHeight="1">
      <x:c r="B25" s="62" t="str">
        <x:v>Mehsana</x:v>
      </x:c>
      <x:c r="C25" s="62" t="n">
        <x:v>2027727</x:v>
      </x:c>
      <x:c r="D25" s="62" t="n">
        <x:v>708893</x:v>
      </x:c>
      <x:c r="E25" s="62" t="n">
        <x:v>410412</x:v>
      </x:c>
      <x:c r="F25" s="62" t="n">
        <x:v>298481</x:v>
      </x:c>
      <x:c r="G25" s="62" t="n">
        <x:v>111931</x:v>
      </x:c>
      <x:c r="H25" s="62" t="n">
        <x:v>186551</x:v>
      </x:c>
      <x:c r="I25" s="62" t="n">
        <x:v>149241</x:v>
      </x:c>
      <x:c r="J25" s="63" t="n">
        <x:f aca="0">SUM(D25:I25)</x:f>
        <x:v>1865509</x:v>
      </x:c>
      <x:c r="K25" s="55" t="n">
        <x:v>46203</x:v>
      </x:c>
    </x:row>
    <x:row r="26" ht="15" hidden="0" customHeight="1">
      <x:c r="B26" s="64" t="str">
        <x:v>Morbi</x:v>
      </x:c>
      <x:c r="C26" s="64" t="n">
        <x:v>960329</x:v>
      </x:c>
      <x:c r="D26" s="64" t="n">
        <x:v>383171</x:v>
      </x:c>
      <x:c r="E26" s="64" t="n">
        <x:v>221836</x:v>
      </x:c>
      <x:c r="F26" s="64" t="n">
        <x:v>161335</x:v>
      </x:c>
      <x:c r="G26" s="64" t="n">
        <x:v>60501</x:v>
      </x:c>
      <x:c r="H26" s="64" t="n">
        <x:v>100834</x:v>
      </x:c>
      <x:c r="I26" s="64" t="n">
        <x:v>80668</x:v>
      </x:c>
      <x:c r="J26" s="64" t="n">
        <x:f>SUM(D26:I26)</x:f>
        <x:v>1008345</x:v>
      </x:c>
      <x:c r="K26" s="65" t="n">
        <x:v>46203</x:v>
      </x:c>
    </x:row>
    <x:row r="27" ht="15" hidden="0" customHeight="1">
      <x:c r="B27" s="66" t="str">
        <x:v>Narmada</x:v>
      </x:c>
      <x:c r="C27" s="66" t="n">
        <x:f aca="0"/>
        <x:v>590379</x:v>
      </x:c>
      <x:c r="D27" s="66" t="n">
        <x:f aca="0"/>
        <x:v>112172</x:v>
      </x:c>
      <x:c r="E27" s="66" t="n">
        <x:f aca="0"/>
        <x:v>64942</x:v>
      </x:c>
      <x:c r="F27" s="66" t="n">
        <x:f aca="0"/>
        <x:v>47230</x:v>
      </x:c>
      <x:c r="G27" s="66" t="n">
        <x:f aca="0"/>
        <x:v>17711</x:v>
      </x:c>
      <x:c r="H27" s="66" t="n">
        <x:f aca="0"/>
        <x:v>29519</x:v>
      </x:c>
      <x:c r="I27" s="66" t="n">
        <x:f aca="0"/>
        <x:v>23616</x:v>
      </x:c>
      <x:c r="J27" s="66" t="n">
        <x:f aca="0">SUM(D27:I27)</x:f>
        <x:v>295190</x:v>
      </x:c>
      <x:c r="K27" s="65" t="n">
        <x:v>46203</x:v>
      </x:c>
    </x:row>
    <x:row r="28" ht="15" hidden="0" customHeight="1">
      <x:c r="B28" s="64" t="str">
        <x:v>Navsari</x:v>
      </x:c>
      <x:c r="C28" s="64" t="n">
        <x:v>1330711</x:v>
      </x:c>
      <x:c r="D28" s="64" t="n">
        <x:v>465217</x:v>
      </x:c>
      <x:c r="E28" s="64" t="n">
        <x:v>269336</x:v>
      </x:c>
      <x:c r="F28" s="64" t="n">
        <x:v>195881</x:v>
      </x:c>
      <x:c r="G28" s="64" t="n">
        <x:v>73455</x:v>
      </x:c>
      <x:c r="H28" s="64" t="n">
        <x:v>122425</x:v>
      </x:c>
      <x:c r="I28" s="64" t="n">
        <x:v>97940</x:v>
      </x:c>
      <x:c r="J28" s="64" t="n">
        <x:f>SUM(D28:I28)</x:f>
        <x:v>1224254</x:v>
      </x:c>
      <x:c r="K28" s="65" t="n">
        <x:v>46203</x:v>
      </x:c>
    </x:row>
    <x:row r="29" ht="15" hidden="0" customHeight="1">
      <x:c r="B29" s="64" t="str">
        <x:v>Panchmahal</x:v>
      </x:c>
      <x:c r="C29" s="64" t="n">
        <x:v>2388267</x:v>
      </x:c>
      <x:c r="D29" s="64" t="n">
        <x:v>517299</x:v>
      </x:c>
      <x:c r="E29" s="64" t="n">
        <x:v>299489</x:v>
      </x:c>
      <x:c r="F29" s="64" t="n">
        <x:v>217810</x:v>
      </x:c>
      <x:c r="G29" s="64" t="n">
        <x:v>81679</x:v>
      </x:c>
      <x:c r="H29" s="64" t="n">
        <x:v>136131</x:v>
      </x:c>
      <x:c r="I29" s="64" t="n">
        <x:v>108904</x:v>
      </x:c>
      <x:c r="J29" s="64" t="n">
        <x:f>SUM(D29:I29)</x:f>
        <x:v>1361312</x:v>
      </x:c>
      <x:c r="K29" s="65" t="n">
        <x:v>46203</x:v>
      </x:c>
    </x:row>
    <x:row r="30" ht="15" hidden="0" customHeight="1">
      <x:c r="B30" s="64" t="str">
        <x:v>Patan</x:v>
      </x:c>
      <x:c r="C30" s="64" t="n">
        <x:v>1342746</x:v>
      </x:c>
      <x:c r="D30" s="64" t="n">
        <x:v>316351</x:v>
      </x:c>
      <x:c r="E30" s="64" t="n">
        <x:v>183151</x:v>
      </x:c>
      <x:c r="F30" s="64" t="n">
        <x:v>133200</x:v>
      </x:c>
      <x:c r="G30" s="64" t="n">
        <x:v>49950</x:v>
      </x:c>
      <x:c r="H30" s="64" t="n">
        <x:v>83250</x:v>
      </x:c>
      <x:c r="I30" s="64" t="n">
        <x:v>66601</x:v>
      </x:c>
      <x:c r="J30" s="64" t="n">
        <x:f>SUM(D30:I30)</x:f>
        <x:v>832503</x:v>
      </x:c>
      <x:c r="K30" s="65" t="n">
        <x:v>46203</x:v>
      </x:c>
    </x:row>
    <x:row r="31" ht="15" hidden="0" customHeight="1">
      <x:c r="B31" s="64" t="str">
        <x:v>Porbandar</x:v>
      </x:c>
      <x:c r="C31" s="64" t="n">
        <x:v>586062</x:v>
      </x:c>
      <x:c r="D31" s="64" t="n">
        <x:v>173709</x:v>
      </x:c>
      <x:c r="E31" s="64" t="n">
        <x:v>100568</x:v>
      </x:c>
      <x:c r="F31" s="64" t="n">
        <x:v>73140</x:v>
      </x:c>
      <x:c r="G31" s="64" t="n">
        <x:v>27428</x:v>
      </x:c>
      <x:c r="H31" s="64" t="n">
        <x:v>45713</x:v>
      </x:c>
      <x:c r="I31" s="64" t="n">
        <x:v>36570</x:v>
      </x:c>
      <x:c r="J31" s="64" t="n">
        <x:f>SUM(D31:I31)</x:f>
        <x:v>457128</x:v>
      </x:c>
      <x:c r="K31" s="65" t="n">
        <x:v>46203</x:v>
      </x:c>
    </x:row>
    <x:row r="32" ht="15" hidden="0" customHeight="1">
      <x:c r="B32" s="64" t="str">
        <x:v>Rajkot</x:v>
      </x:c>
      <x:c r="C32" s="64" t="n">
        <x:v>3157676</x:v>
      </x:c>
      <x:c r="D32" s="64" t="n">
        <x:v>1319909</x:v>
      </x:c>
      <x:c r="E32" s="64" t="n">
        <x:v>764158</x:v>
      </x:c>
      <x:c r="F32" s="64" t="n">
        <x:v>555751</x:v>
      </x:c>
      <x:c r="G32" s="64" t="n">
        <x:v>208407</x:v>
      </x:c>
      <x:c r="H32" s="64" t="n">
        <x:v>347344</x:v>
      </x:c>
      <x:c r="I32" s="64" t="n">
        <x:v>277875</x:v>
      </x:c>
      <x:c r="J32" s="64" t="n">
        <x:f>SUM(D32:I32)</x:f>
        <x:v>3473444</x:v>
      </x:c>
      <x:c r="K32" s="65" t="n">
        <x:v>46203</x:v>
      </x:c>
    </x:row>
    <x:row r="33" ht="15" hidden="0" customHeight="1">
      <x:c r="B33" s="64" t="str">
        <x:v>Sabarkantha</x:v>
      </x:c>
      <x:c r="C33" s="64" t="n">
        <x:v>2458589</x:v>
      </x:c>
      <x:c r="D33" s="64" t="n">
        <x:v>607272</x:v>
      </x:c>
      <x:c r="E33" s="64" t="n">
        <x:v>351578</x:v>
      </x:c>
      <x:c r="F33" s="64" t="n">
        <x:v>255693</x:v>
      </x:c>
      <x:c r="G33" s="64" t="n">
        <x:v>95885</x:v>
      </x:c>
      <x:c r="H33" s="64" t="n">
        <x:v>159808</x:v>
      </x:c>
      <x:c r="I33" s="64" t="n">
        <x:v>127847</x:v>
      </x:c>
      <x:c r="J33" s="64" t="n">
        <x:f>SUM(D33:I33)</x:f>
        <x:v>1598083</x:v>
      </x:c>
      <x:c r="K33" s="65" t="n">
        <x:v>46203</x:v>
      </x:c>
    </x:row>
    <x:row r="34" ht="15" hidden="0" customHeight="1">
      <x:c r="B34" s="64" t="str">
        <x:v>Surat</x:v>
      </x:c>
      <x:c r="C34" s="64" t="n">
        <x:v>6081322</x:v>
      </x:c>
      <x:c r="D34" s="64" t="n">
        <x:v>2957955</x:v>
      </x:c>
      <x:c r="E34" s="64" t="n">
        <x:v>1712500</x:v>
      </x:c>
      <x:c r="F34" s="64" t="n">
        <x:v>1245455</x:v>
      </x:c>
      <x:c r="G34" s="64" t="n">
        <x:v>467046</x:v>
      </x:c>
      <x:c r="H34" s="64" t="n">
        <x:v>778409</x:v>
      </x:c>
      <x:c r="I34" s="64" t="n">
        <x:v>622727</x:v>
      </x:c>
      <x:c r="J34" s="64" t="n">
        <x:f>SUM(D34:I34)</x:f>
        <x:v>7784092</x:v>
      </x:c>
      <x:c r="K34" s="65" t="n">
        <x:v>46203</x:v>
      </x:c>
    </x:row>
    <x:row r="35" ht="15" hidden="0" customHeight="1">
      <x:c r="B35" s="64" t="str">
        <x:v>Surendranagar</x:v>
      </x:c>
      <x:c r="C35" s="64" t="n">
        <x:v>1755873</x:v>
      </x:c>
      <x:c r="D35" s="64" t="n">
        <x:v>467062</x:v>
      </x:c>
      <x:c r="E35" s="64" t="n">
        <x:v>270404</x:v>
      </x:c>
      <x:c r="F35" s="64" t="n">
        <x:v>196658</x:v>
      </x:c>
      <x:c r="G35" s="64" t="n">
        <x:v>73747</x:v>
      </x:c>
      <x:c r="H35" s="64" t="n">
        <x:v>122911</x:v>
      </x:c>
      <x:c r="I35" s="64" t="n">
        <x:v>98329</x:v>
      </x:c>
      <x:c r="J35" s="64" t="n">
        <x:f>SUM(D35:I35)</x:f>
        <x:v>1229111</x:v>
      </x:c>
      <x:c r="K35" s="65" t="n">
        <x:v>46203</x:v>
      </x:c>
    </x:row>
    <x:row r="36" ht="15" hidden="0" customHeight="1">
      <x:c r="B36" s="64" t="str">
        <x:v>Tapi</x:v>
      </x:c>
      <x:c r="C36" s="64" t="n">
        <x:v>806489</x:v>
      </x:c>
      <x:c r="D36" s="64" t="n">
        <x:v>147104</x:v>
      </x:c>
      <x:c r="E36" s="64" t="n">
        <x:v>85165</x:v>
      </x:c>
      <x:c r="F36" s="64" t="n">
        <x:v>61938</x:v>
      </x:c>
      <x:c r="G36" s="64" t="n">
        <x:v>23227</x:v>
      </x:c>
      <x:c r="H36" s="64" t="n">
        <x:v>38712</x:v>
      </x:c>
      <x:c r="I36" s="64" t="n">
        <x:v>30969</x:v>
      </x:c>
      <x:c r="J36" s="64" t="n">
        <x:f>SUM(D36:I36)</x:f>
        <x:v>387115</x:v>
      </x:c>
      <x:c r="K36" s="65" t="n">
        <x:v>46203</x:v>
      </x:c>
    </x:row>
    <x:row r="37" ht="15" hidden="0" customHeight="1">
      <x:c r="B37" s="64" t="str">
        <x:v>Vadodara</x:v>
      </x:c>
      <x:c r="C37" s="64" t="n">
        <x:v>3639775</x:v>
      </x:c>
      <x:c r="D37" s="64" t="n">
        <x:v>1549088</x:v>
      </x:c>
      <x:c r="E37" s="64" t="n">
        <x:v>896841</x:v>
      </x:c>
      <x:c r="F37" s="64" t="n">
        <x:v>652248</x:v>
      </x:c>
      <x:c r="G37" s="64" t="n">
        <x:v>244593</x:v>
      </x:c>
      <x:c r="H37" s="64" t="n">
        <x:v>407655</x:v>
      </x:c>
      <x:c r="I37" s="64" t="n">
        <x:v>326123</x:v>
      </x:c>
      <x:c r="J37" s="64" t="n">
        <x:f>SUM(D37:I37)</x:f>
        <x:v>4076548</x:v>
      </x:c>
      <x:c r="K37" s="65" t="n">
        <x:v>46203</x:v>
      </x:c>
    </x:row>
    <x:row r="38" ht="15" hidden="0" customHeight="1">
      <x:c r="B38" s="64" t="str">
        <x:v>Valsad</x:v>
      </x:c>
      <x:c r="C38" s="64" t="n">
        <x:v>1703068</x:v>
      </x:c>
      <x:c r="D38" s="64" t="n">
        <x:v>601864</x:v>
      </x:c>
      <x:c r="E38" s="64" t="n">
        <x:v>348448</x:v>
      </x:c>
      <x:c r="F38" s="64" t="n">
        <x:v>253416</x:v>
      </x:c>
      <x:c r="G38" s="64" t="n">
        <x:v>95031</x:v>
      </x:c>
      <x:c r="H38" s="64" t="n">
        <x:v>158385</x:v>
      </x:c>
      <x:c r="I38" s="64" t="n">
        <x:v>126709</x:v>
      </x:c>
      <x:c r="J38" s="64" t="n">
        <x:f>SUM(D38:I38)</x:f>
        <x:v>1583853</x:v>
      </x:c>
      <x:c r="K38" s="65" t="n">
        <x:v>46203</x:v>
      </x:c>
    </x:row>
    <x:row r="39" ht="15" hidden="0" customHeight="1">
      <x:c r="B39" s="64" t="str">
        <x:v>Vav-Tharad</x:v>
      </x:c>
      <x:c r="C39" s="64" t="n">
        <x:v>978840</x:v>
      </x:c>
      <x:c r="D39" s="64" t="n">
        <x:v>193419</x:v>
      </x:c>
      <x:c r="E39" s="64" t="n">
        <x:v>111979</x:v>
      </x:c>
      <x:c r="F39" s="64" t="n">
        <x:v>81440</x:v>
      </x:c>
      <x:c r="G39" s="64" t="n">
        <x:v>30540</x:v>
      </x:c>
      <x:c r="H39" s="64" t="n">
        <x:v>50900</x:v>
      </x:c>
      <x:c r="I39" s="64" t="n">
        <x:v>40719</x:v>
      </x:c>
      <x:c r="J39" s="64" t="n">
        <x:f>SUM(D39:I39)</x:f>
        <x:v>508997</x:v>
      </x:c>
      <x:c r="K39" s="65" t="n">
        <x:v>46203</x:v>
      </x:c>
    </x:row>
    <x:row r="40" ht="15" hidden="0" customHeight="1">
      <x:c r="B40" s="64" t="str">
        <x:v>STATE TOTAL</x:v>
      </x:c>
      <x:c r="C40" s="64" t="n">
        <x:f>SUM(C6:C39)</x:f>
        <x:v>65966032</x:v>
      </x:c>
      <x:c r="D40" s="64" t="n">
        <x:f>SUM(D6:D39)</x:f>
        <x:v>22272909</x:v>
      </x:c>
      <x:c r="E40" s="64" t="n">
        <x:f>SUM(E6:E39)</x:f>
        <x:v>12894839</x:v>
      </x:c>
      <x:c r="F40" s="64" t="n">
        <x:f>SUM(F6:F39)</x:f>
        <x:v>9378063</x:v>
      </x:c>
      <x:c r="G40" s="64" t="n">
        <x:f>SUM(G6:G39)</x:f>
        <x:v>3516777</x:v>
      </x:c>
      <x:c r="H40" s="64" t="n">
        <x:f>SUM(H6:H39)</x:f>
        <x:v>5861288</x:v>
      </x:c>
      <x:c r="I40" s="64" t="n">
        <x:f>SUM(I6:I39)</x:f>
        <x:v>4689033</x:v>
      </x:c>
      <x:c r="J40" s="64" t="n">
        <x:f>SUM(J6:J39)</x:f>
        <x:v>58612909</x:v>
      </x:c>
      <x:c r="K40" s="64"/>
    </x:row>
    <x:row r="41" ht="105.5999984741211" hidden="0" customHeight="1">
      <x:c r="B41" s="64" t="str">
        <x:v>Note: Population is Census-2011-based / administrative split estimate; e-waste quantities are planning estimates for academic analysis.</x:v>
      </x:c>
      <x:c r="C41" s="64"/>
      <x:c r="D41" s="64"/>
      <x:c r="E41" s="64"/>
      <x:c r="F41" s="64"/>
      <x:c r="G41" s="64"/>
      <x:c r="H41" s="64"/>
      <x:c r="I41" s="64"/>
      <x:c r="J41" s="64"/>
      <x:c r="K41" s="64"/>
    </x:row>
    <x:row r="42" ht="15" hidden="0" customHeight="1"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</x:row>
    <x:row r="43" ht="15" hidden="0" customHeight="1"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</x:row>
    <x:row r="44" ht="15" hidden="0" customHeight="1"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</x:row>
    <x:row r="45" ht="15" hidden="0" customHeight="1"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</x:row>
    <x:row r="46" ht="15" hidden="0" customHeight="1"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</x:row>
  </x:sheetData>
  <x:mergeCells>
    <x:mergeCell ref="A2:J2"/>
    <x:mergeCell ref="B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0" hidden="0" customWidth="1"/>
    <x:col min="3" max="3" width="20" hidden="0" customWidth="1"/>
    <x:col min="4" max="4" width="16" hidden="0" customWidth="1"/>
    <x:col min="5" max="5" width="18" hidden="0" customWidth="1"/>
    <x:col min="6" max="6" width="20" hidden="0" customWidth="1"/>
    <x:col min="7" max="7" width="20" hidden="0" customWidth="1"/>
    <x:col min="8" max="8" width="36" hidden="0" customWidth="1"/>
  </x:cols>
  <x:sheetData>
    <x:row r="2" ht="25.5" hidden="0" customHeight="1">
      <x:c r="A2" s="1" t="s">
        <x:v>52</x:v>
      </x:c>
      <x:c r="B2" s="1"/>
      <x:c r="C2" s="1"/>
      <x:c r="D2" s="1"/>
      <x:c r="E2" s="1"/>
      <x:c r="F2" s="1"/>
      <x:c r="G2" s="1"/>
    </x:row>
    <x:row r="3" ht="15" hidden="0">
      <x:c r="B3" s="2" t="s">
        <x:v>53</x:v>
      </x:c>
      <x:c r="C3" s="2"/>
      <x:c r="D3" s="2"/>
      <x:c r="E3" s="2"/>
      <x:c r="F3" s="2"/>
      <x:c r="G3" s="2"/>
      <x:c r="H3" s="2"/>
    </x:row>
    <x:row r="5" ht="24" hidden="0" customHeight="1">
      <x:c r="B5" s="60" t="s">
        <x:v>42</x:v>
      </x:c>
      <x:c r="C5" s="60" t="s">
        <x:v>54</x:v>
      </x:c>
      <x:c r="D5" s="60" t="s">
        <x:v>55</x:v>
      </x:c>
      <x:c r="E5" s="60" t="s">
        <x:v>56</x:v>
      </x:c>
      <x:c r="F5" s="60" t="s">
        <x:v>57</x:v>
      </x:c>
      <x:c r="G5" s="60" t="s">
        <x:v>58</x:v>
      </x:c>
      <x:c r="H5" s="60" t="s">
        <x:v>59</x:v>
      </x:c>
      <x:c r="I5" s="64"/>
      <x:c r="J5" s="64"/>
      <x:c r="K5" s="64"/>
    </x:row>
    <x:row r="6" ht="36" hidden="0" customHeight="1">
      <x:c r="B6" s="61" t="str">
        <x:v>Ahmedabad</x:v>
      </x:c>
      <x:c r="C6" s="61" t="n">
        <x:f aca="0">IFERROR(INDEX('1_Generation_Inventory'!$J$6:$J$39,MATCH(B6,'1_Generation_Inventory'!$B$6:$B$39,0)),0)</x:f>
        <x:v>9731070</x:v>
      </x:c>
      <x:c r="D6" s="61" t="n">
        <x:v>6952850</x:v>
      </x:c>
      <x:c r="E6" s="61" t="n">
        <x:v>23</x:v>
      </x:c>
      <x:c r="F6" s="61" t="n">
        <x:v>6325196</x:v>
      </x:c>
      <x:c r="G6" s="61" t="n">
        <x:v>5692676</x:v>
      </x:c>
      <x:c r="H6" s="61" t="str">
        <x:v>District collection through registered centres and producer take-back channels</x:v>
      </x:c>
      <x:c r="I6" s="64"/>
      <x:c r="J6" s="64"/>
      <x:c r="K6" s="64"/>
    </x:row>
    <x:row r="7" ht="36" hidden="0" customHeight="1">
      <x:c r="B7" s="62" t="str">
        <x:v>Amreli</x:v>
      </x:c>
      <x:c r="C7" s="63" t="n">
        <x:f aca="0">IFERROR(INDEX('1_Generation_Inventory'!$J$6:$J$39,MATCH(B7,'1_Generation_Inventory'!$B$6:$B$39,0)),0)</x:f>
        <x:v>938441</x:v>
      </x:c>
      <x:c r="D7" s="62" t="n">
        <x:v>499626</x:v>
      </x:c>
      <x:c r="E7" s="62" t="n">
        <x:v>4</x:v>
      </x:c>
      <x:c r="F7" s="62" t="n">
        <x:v>609987</x:v>
      </x:c>
      <x:c r="G7" s="62" t="n">
        <x:v>499626</x:v>
      </x:c>
      <x:c r="H7" s="62" t="str">
        <x:v>District collection through registered centres and producer take-back channels</x:v>
      </x:c>
      <x:c r="I7" s="64"/>
      <x:c r="J7" s="64"/>
      <x:c r="K7" s="64"/>
    </x:row>
    <x:row r="8" ht="36" hidden="0" customHeight="1">
      <x:c r="B8" s="62" t="str">
        <x:v>Anand</x:v>
      </x:c>
      <x:c r="C8" s="63" t="n">
        <x:f aca="0">IFERROR(INDEX('1_Generation_Inventory'!$J$6:$J$39,MATCH(B8,'1_Generation_Inventory'!$B$6:$B$39,0)),0)</x:f>
        <x:v>1839443</x:v>
      </x:c>
      <x:c r="D8" s="62" t="n">
        <x:v>1136040</x:v>
      </x:c>
      <x:c r="E8" s="62" t="n">
        <x:v>6</x:v>
      </x:c>
      <x:c r="F8" s="62" t="n">
        <x:v>1195638</x:v>
      </x:c>
      <x:c r="G8" s="62" t="n">
        <x:v>1136040</x:v>
      </x:c>
      <x:c r="H8" s="62" t="str">
        <x:v>District collection through registered centres and producer take-back channels</x:v>
      </x:c>
      <x:c r="I8" s="64"/>
      <x:c r="J8" s="64"/>
      <x:c r="K8" s="64"/>
    </x:row>
    <x:row r="9" ht="36" hidden="0" customHeight="1">
      <x:c r="B9" s="62" t="str">
        <x:v>Aravalli</x:v>
      </x:c>
      <x:c r="C9" s="63" t="n">
        <x:f aca="0">IFERROR(INDEX('1_Generation_Inventory'!$J$6:$J$39,MATCH(B9,'1_Generation_Inventory'!$B$6:$B$39,0)),0)</x:f>
        <x:v>578460</x:v>
      </x:c>
      <x:c r="D9" s="62" t="n">
        <x:v>314393</x:v>
      </x:c>
      <x:c r="E9" s="62" t="n">
        <x:v>3</x:v>
      </x:c>
      <x:c r="F9" s="62" t="n">
        <x:v>375999</x:v>
      </x:c>
      <x:c r="G9" s="62" t="n">
        <x:v>314393</x:v>
      </x:c>
      <x:c r="H9" s="62" t="str">
        <x:v>District collection through registered centres and producer take-back channels</x:v>
      </x:c>
      <x:c r="I9" s="64"/>
      <x:c r="J9" s="64"/>
      <x:c r="K9" s="64"/>
    </x:row>
    <x:row r="10" ht="36" hidden="0" customHeight="1">
      <x:c r="B10" s="62" t="str">
        <x:v>Banaskantha</x:v>
      </x:c>
      <x:c r="C10" s="63" t="n">
        <x:f aca="0">IFERROR(INDEX('1_Generation_Inventory'!$J$6:$J$39,MATCH(B10,'1_Generation_Inventory'!$B$6:$B$39,0)),0)</x:f>
        <x:v>1242166</x:v>
      </x:c>
      <x:c r="D10" s="62" t="n">
        <x:v>703811</x:v>
      </x:c>
      <x:c r="E10" s="62" t="n">
        <x:v>6</x:v>
      </x:c>
      <x:c r="F10" s="62" t="n">
        <x:v>807408</x:v>
      </x:c>
      <x:c r="G10" s="62" t="n">
        <x:v>703811</x:v>
      </x:c>
      <x:c r="H10" s="62" t="str">
        <x:v>District collection through registered centres and producer take-back channels</x:v>
      </x:c>
      <x:c r="I10" s="64"/>
      <x:c r="J10" s="64"/>
      <x:c r="K10" s="64"/>
    </x:row>
    <x:row r="11" ht="36" hidden="0" customHeight="1">
      <x:c r="B11" s="62" t="str">
        <x:v>Bharuch</x:v>
      </x:c>
      <x:c r="C11" s="63" t="n">
        <x:f aca="0">IFERROR(INDEX('1_Generation_Inventory'!$J$6:$J$39,MATCH(B11,'1_Generation_Inventory'!$B$6:$B$39,0)),0)</x:f>
        <x:v>1473281</x:v>
      </x:c>
      <x:c r="D11" s="62" t="n">
        <x:v>893545</x:v>
      </x:c>
      <x:c r="E11" s="62" t="n">
        <x:v>5</x:v>
      </x:c>
      <x:c r="F11" s="62" t="n">
        <x:v>957633</x:v>
      </x:c>
      <x:c r="G11" s="62" t="n">
        <x:v>893545</x:v>
      </x:c>
      <x:c r="H11" s="62" t="str">
        <x:v>District collection through registered centres and producer take-back channels</x:v>
      </x:c>
      <x:c r="I11" s="64"/>
      <x:c r="J11" s="64"/>
      <x:c r="K11" s="64"/>
    </x:row>
    <x:row r="12" ht="36" hidden="0" customHeight="1">
      <x:c r="B12" s="62" t="str">
        <x:v>Bhavnagar</x:v>
      </x:c>
      <x:c r="C12" s="63" t="n">
        <x:f aca="0">IFERROR(INDEX('1_Generation_Inventory'!$J$6:$J$39,MATCH(B12,'1_Generation_Inventory'!$B$6:$B$39,0)),0)</x:f>
        <x:v>2359928</x:v>
      </x:c>
      <x:c r="D12" s="62" t="n">
        <x:v>1383862</x:v>
      </x:c>
      <x:c r="E12" s="62" t="n">
        <x:v>8</x:v>
      </x:c>
      <x:c r="F12" s="62" t="n">
        <x:v>1533953</x:v>
      </x:c>
      <x:c r="G12" s="62" t="n">
        <x:v>1383862</x:v>
      </x:c>
      <x:c r="H12" s="62" t="str">
        <x:v>District collection through registered centres and producer take-back channels</x:v>
      </x:c>
      <x:c r="I12" s="64"/>
      <x:c r="J12" s="64"/>
      <x:c r="K12" s="64"/>
    </x:row>
    <x:row r="13" ht="36" hidden="0" customHeight="1">
      <x:c r="B13" s="62" t="str">
        <x:v>Botad</x:v>
      </x:c>
      <x:c r="C13" s="63" t="n">
        <x:f aca="0">IFERROR(INDEX('1_Generation_Inventory'!$J$6:$J$39,MATCH(B13,'1_Generation_Inventory'!$B$6:$B$39,0)),0)</x:f>
        <x:v>380483</x:v>
      </x:c>
      <x:c r="D13" s="62" t="n">
        <x:v>204167</x:v>
      </x:c>
      <x:c r="E13" s="62" t="n">
        <x:v>2</x:v>
      </x:c>
      <x:c r="F13" s="62" t="n">
        <x:v>247314</x:v>
      </x:c>
      <x:c r="G13" s="62" t="n">
        <x:v>204167</x:v>
      </x:c>
      <x:c r="H13" s="62" t="str">
        <x:v>District collection through registered centres and producer take-back channels</x:v>
      </x:c>
      <x:c r="I13" s="64"/>
      <x:c r="J13" s="64"/>
      <x:c r="K13" s="64"/>
    </x:row>
    <x:row r="14" ht="36" hidden="0" customHeight="1">
      <x:c r="B14" s="62" t="str">
        <x:v>Chhota Udaipur</x:v>
      </x:c>
      <x:c r="C14" s="63" t="n">
        <x:f aca="0">IFERROR(INDEX('1_Generation_Inventory'!$J$6:$J$39,MATCH(B14,'1_Generation_Inventory'!$B$6:$B$39,0)),0)</x:f>
        <x:v>493042</x:v>
      </x:c>
      <x:c r="D14" s="62" t="n">
        <x:v>255987</x:v>
      </x:c>
      <x:c r="E14" s="62" t="n">
        <x:v>3</x:v>
      </x:c>
      <x:c r="F14" s="62" t="n">
        <x:v>320477</x:v>
      </x:c>
      <x:c r="G14" s="62" t="n">
        <x:v>255987</x:v>
      </x:c>
      <x:c r="H14" s="62" t="str">
        <x:v>District collection through registered centres and producer take-back channels</x:v>
      </x:c>
      <x:c r="I14" s="64"/>
      <x:c r="J14" s="64"/>
      <x:c r="K14" s="64"/>
    </x:row>
    <x:row r="15" ht="36" hidden="0" customHeight="1">
      <x:c r="B15" s="62" t="str">
        <x:v>Dahod</x:v>
      </x:c>
      <x:c r="C15" s="63" t="n">
        <x:f aca="0">IFERROR(INDEX('1_Generation_Inventory'!$J$6:$J$39,MATCH(B15,'1_Generation_Inventory'!$B$6:$B$39,0)),0)</x:f>
        <x:v>999482</x:v>
      </x:c>
      <x:c r="D15" s="62" t="n">
        <x:v>536622</x:v>
      </x:c>
      <x:c r="E15" s="62" t="n">
        <x:v>6</x:v>
      </x:c>
      <x:c r="F15" s="62" t="n">
        <x:v>649663</x:v>
      </x:c>
      <x:c r="G15" s="62" t="n">
        <x:v>536622</x:v>
      </x:c>
      <x:c r="H15" s="62" t="str">
        <x:v>District collection through registered centres and producer take-back channels</x:v>
      </x:c>
      <x:c r="I15" s="64"/>
      <x:c r="J15" s="64"/>
      <x:c r="K15" s="64"/>
    </x:row>
    <x:row r="16" ht="36" hidden="0" customHeight="1">
      <x:c r="B16" s="62" t="str">
        <x:v>Dang</x:v>
      </x:c>
      <x:c r="C16" s="63" t="n">
        <x:f aca="0">IFERROR(INDEX('1_Generation_Inventory'!$J$6:$J$39,MATCH(B16,'1_Generation_Inventory'!$B$6:$B$39,0)),0)</x:f>
        <x:v>90708</x:v>
      </x:c>
      <x:c r="D16" s="62" t="n">
        <x:v>41544</x:v>
      </x:c>
      <x:c r="E16" s="62" t="n">
        <x:v>1</x:v>
      </x:c>
      <x:c r="F16" s="62" t="n">
        <x:v>58960</x:v>
      </x:c>
      <x:c r="G16" s="62" t="n">
        <x:v>41544</x:v>
      </x:c>
      <x:c r="H16" s="62" t="str">
        <x:v>District collection through registered centres and producer take-back channels</x:v>
      </x:c>
      <x:c r="I16" s="64"/>
      <x:c r="J16" s="64"/>
      <x:c r="K16" s="64"/>
    </x:row>
    <x:row r="17" ht="36" hidden="0" customHeight="1">
      <x:c r="B17" s="62" t="str">
        <x:v>Devbhoomi Dwarka</x:v>
      </x:c>
      <x:c r="C17" s="63" t="n">
        <x:f aca="0">IFERROR(INDEX('1_Generation_Inventory'!$J$6:$J$39,MATCH(B17,'1_Generation_Inventory'!$B$6:$B$39,0)),0)</x:f>
        <x:v>474065</x:v>
      </x:c>
      <x:c r="D17" s="62" t="n">
        <x:v>253672</x:v>
      </x:c>
      <x:c r="E17" s="62" t="n">
        <x:v>2</x:v>
      </x:c>
      <x:c r="F17" s="62" t="n">
        <x:v>308142</x:v>
      </x:c>
      <x:c r="G17" s="62" t="n">
        <x:v>253672</x:v>
      </x:c>
      <x:c r="H17" s="62" t="str">
        <x:v>District collection through registered centres and producer take-back channels</x:v>
      </x:c>
      <x:c r="I17" s="64"/>
      <x:c r="J17" s="64"/>
      <x:c r="K17" s="64"/>
    </x:row>
    <x:row r="18" ht="36" hidden="0" customHeight="1">
      <x:c r="B18" s="62" t="str">
        <x:v>Gandhinagar</x:v>
      </x:c>
      <x:c r="C18" s="63" t="n">
        <x:f aca="0">IFERROR(INDEX('1_Generation_Inventory'!$J$6:$J$39,MATCH(B18,'1_Generation_Inventory'!$B$6:$B$39,0)),0)</x:f>
        <x:v>1595600</x:v>
      </x:c>
      <x:c r="D18" s="62" t="n">
        <x:v>1101762</x:v>
      </x:c>
      <x:c r="E18" s="62" t="n">
        <x:v>4</x:v>
      </x:c>
      <x:c r="F18" s="62" t="n">
        <x:v>1037140</x:v>
      </x:c>
      <x:c r="G18" s="62" t="n">
        <x:v>933426</x:v>
      </x:c>
      <x:c r="H18" s="62" t="str">
        <x:v>District collection through registered centres and producer take-back channels</x:v>
      </x:c>
      <x:c r="I18" s="64"/>
      <x:c r="J18" s="64"/>
      <x:c r="K18" s="64"/>
    </x:row>
    <x:row r="19" ht="36" hidden="0" customHeight="1">
      <x:c r="B19" s="62" t="str">
        <x:v>Gir Somnath</x:v>
      </x:c>
      <x:c r="C19" s="63" t="n">
        <x:f aca="0">IFERROR(INDEX('1_Generation_Inventory'!$J$6:$J$39,MATCH(B19,'1_Generation_Inventory'!$B$6:$B$39,0)),0)</x:f>
        <x:v>852234</x:v>
      </x:c>
      <x:c r="D19" s="62" t="n">
        <x:v>497705</x:v>
      </x:c>
      <x:c r="E19" s="62" t="n">
        <x:v>3</x:v>
      </x:c>
      <x:c r="F19" s="62" t="n">
        <x:v>553952</x:v>
      </x:c>
      <x:c r="G19" s="62" t="n">
        <x:v>497705</x:v>
      </x:c>
      <x:c r="H19" s="62" t="str">
        <x:v>District collection through registered centres and producer take-back channels</x:v>
      </x:c>
      <x:c r="I19" s="64"/>
      <x:c r="J19" s="64"/>
      <x:c r="K19" s="64"/>
    </x:row>
    <x:row r="20" ht="36" hidden="0" customHeight="1">
      <x:c r="B20" s="62" t="str">
        <x:v>Jamnagar</x:v>
      </x:c>
      <x:c r="C20" s="63" t="n">
        <x:f aca="0">IFERROR(INDEX('1_Generation_Inventory'!$J$6:$J$39,MATCH(B20,'1_Generation_Inventory'!$B$6:$B$39,0)),0)</x:f>
        <x:v>1900034</x:v>
      </x:c>
      <x:c r="D20" s="62" t="n">
        <x:v>1230462</x:v>
      </x:c>
      <x:c r="E20" s="62" t="n">
        <x:v>6</x:v>
      </x:c>
      <x:c r="F20" s="62" t="n">
        <x:v>1235022</x:v>
      </x:c>
      <x:c r="G20" s="62" t="n">
        <x:v>1230462</x:v>
      </x:c>
      <x:c r="H20" s="62" t="str">
        <x:v>District collection through registered centres and producer take-back channels</x:v>
      </x:c>
      <x:c r="I20" s="64"/>
      <x:c r="J20" s="64"/>
      <x:c r="K20" s="64"/>
    </x:row>
    <x:row r="21" ht="36" hidden="0" customHeight="1">
      <x:c r="B21" s="62" t="str">
        <x:v>Junagadh</x:v>
      </x:c>
      <x:c r="C21" s="63" t="n">
        <x:f aca="0">IFERROR(INDEX('1_Generation_Inventory'!$J$6:$J$39,MATCH(B21,'1_Generation_Inventory'!$B$6:$B$39,0)),0)</x:f>
        <x:v>1974450</x:v>
      </x:c>
      <x:c r="D21" s="62" t="n">
        <x:v>1074891</x:v>
      </x:c>
      <x:c r="E21" s="62" t="n">
        <x:v>8</x:v>
      </x:c>
      <x:c r="F21" s="62" t="n">
        <x:v>1283392</x:v>
      </x:c>
      <x:c r="G21" s="62" t="n">
        <x:v>1074891</x:v>
      </x:c>
      <x:c r="H21" s="62" t="str">
        <x:v>District collection through registered centres and producer take-back channels</x:v>
      </x:c>
      <x:c r="I21" s="64"/>
      <x:c r="J21" s="64"/>
      <x:c r="K21" s="64"/>
    </x:row>
    <x:row r="22" ht="36" hidden="0" customHeight="1">
      <x:c r="B22" s="62" t="str">
        <x:v>Kheda</x:v>
      </x:c>
      <x:c r="C22" s="63" t="n">
        <x:f aca="0">IFERROR(INDEX('1_Generation_Inventory'!$J$6:$J$39,MATCH(B22,'1_Generation_Inventory'!$B$6:$B$39,0)),0)</x:f>
        <x:v>1793169</x:v>
      </x:c>
      <x:c r="D22" s="62" t="n">
        <x:v>1032148</x:v>
      </x:c>
      <x:c r="E22" s="62" t="n">
        <x:v>7</x:v>
      </x:c>
      <x:c r="F22" s="62" t="n">
        <x:v>1165560</x:v>
      </x:c>
      <x:c r="G22" s="62" t="n">
        <x:v>1032148</x:v>
      </x:c>
      <x:c r="H22" s="62" t="str">
        <x:v>District collection through registered centres and producer take-back channels</x:v>
      </x:c>
      <x:c r="I22" s="64"/>
      <x:c r="J22" s="64"/>
      <x:c r="K22" s="64"/>
    </x:row>
    <x:row r="23" ht="36" hidden="0" customHeight="1">
      <x:c r="B23" s="62" t="str">
        <x:v>Kutch</x:v>
      </x:c>
      <x:c r="C23" s="63" t="n">
        <x:f aca="0">IFERROR(INDEX('1_Generation_Inventory'!$J$6:$J$39,MATCH(B23,'1_Generation_Inventory'!$B$6:$B$39,0)),0)</x:f>
        <x:v>1714057</x:v>
      </x:c>
      <x:c r="D23" s="62" t="n">
        <x:v>1030834</x:v>
      </x:c>
      <x:c r="E23" s="62" t="n">
        <x:v>6</x:v>
      </x:c>
      <x:c r="F23" s="62" t="n">
        <x:v>1114137</x:v>
      </x:c>
      <x:c r="G23" s="62" t="n">
        <x:v>1030834</x:v>
      </x:c>
      <x:c r="H23" s="62" t="str">
        <x:v>District collection through registered centres and producer take-back channels</x:v>
      </x:c>
      <x:c r="I23" s="64"/>
      <x:c r="J23" s="64"/>
      <x:c r="K23" s="64"/>
    </x:row>
    <x:row r="24" ht="36" hidden="0" customHeight="1">
      <x:c r="B24" s="62" t="str">
        <x:v>Mahisagar</x:v>
      </x:c>
      <x:c r="C24" s="63" t="n">
        <x:f aca="0">IFERROR(INDEX('1_Generation_Inventory'!$J$6:$J$39,MATCH(B24,'1_Generation_Inventory'!$B$6:$B$39,0)),0)</x:f>
        <x:v>497312</x:v>
      </x:c>
      <x:c r="D24" s="62" t="n">
        <x:v>263575</x:v>
      </x:c>
      <x:c r="E24" s="62" t="n">
        <x:v>3</x:v>
      </x:c>
      <x:c r="F24" s="62" t="n">
        <x:v>323253</x:v>
      </x:c>
      <x:c r="G24" s="62" t="n">
        <x:v>263575</x:v>
      </x:c>
      <x:c r="H24" s="62" t="str">
        <x:v>District collection through registered centres and producer take-back channels</x:v>
      </x:c>
      <x:c r="I24" s="64"/>
      <x:c r="J24" s="64"/>
      <x:c r="K24" s="64"/>
    </x:row>
    <x:row r="25" ht="36" hidden="0" customHeight="1">
      <x:c r="B25" s="62" t="str">
        <x:v>Mehsana</x:v>
      </x:c>
      <x:c r="C25" s="63" t="n">
        <x:f aca="0">IFERROR(INDEX('1_Generation_Inventory'!$J$6:$J$39,MATCH(B25,'1_Generation_Inventory'!$B$6:$B$39,0)),0)</x:f>
        <x:v>1865509</x:v>
      </x:c>
      <x:c r="D25" s="62" t="n">
        <x:v>1228251</x:v>
      </x:c>
      <x:c r="E25" s="62" t="n">
        <x:v>6</x:v>
      </x:c>
      <x:c r="F25" s="62" t="n">
        <x:v>1212581</x:v>
      </x:c>
      <x:c r="G25" s="62" t="n">
        <x:v>1228251</x:v>
      </x:c>
      <x:c r="H25" s="62" t="str">
        <x:v>District collection through registered centres and producer take-back channels</x:v>
      </x:c>
      <x:c r="I25" s="64"/>
      <x:c r="J25" s="64"/>
      <x:c r="K25" s="64"/>
    </x:row>
    <x:row r="26" ht="39.599998474121094" hidden="0" customHeight="1">
      <x:c r="B26" s="64" t="str">
        <x:v>Morbi</x:v>
      </x:c>
      <x:c r="C26" s="64" t="n">
        <x:f>IFERROR(INDEX('1_Generation_Inventory'!$J$6:$J$39,MATCH(B26,'1_Generation_Inventory'!$B$6:$B$39,0)),0)</x:f>
        <x:v>1008345</x:v>
      </x:c>
      <x:c r="D26" s="64" t="n">
        <x:v>638787</x:v>
      </x:c>
      <x:c r="E26" s="64" t="n">
        <x:v>3</x:v>
      </x:c>
      <x:c r="F26" s="64" t="n">
        <x:v>655424</x:v>
      </x:c>
      <x:c r="G26" s="64" t="n">
        <x:v>589882</x:v>
      </x:c>
      <x:c r="H26" s="64" t="str">
        <x:v>District collection through registered centres and producer take-back channels</x:v>
      </x:c>
      <x:c r="I26" s="64"/>
      <x:c r="J26" s="64"/>
      <x:c r="K26" s="64"/>
    </x:row>
    <x:row r="27" ht="39.599998474121094" hidden="0" customHeight="1">
      <x:c r="B27" s="66" t="str">
        <x:v>Narmada</x:v>
      </x:c>
      <x:c r="C27" s="66" t="n">
        <x:f aca="0">IFERROR(INDEX('1_Generation_Inventory'!$J$6:$J$39,MATCH(B27,'1_Generation_Inventory'!$B$6:$B$39,0)),0)</x:f>
        <x:v>295190</x:v>
      </x:c>
      <x:c r="D27" s="66" t="n">
        <x:f aca="0"/>
        <x:v>147595</x:v>
      </x:c>
      <x:c r="E27" s="66" t="n">
        <x:f aca="0"/>
        <x:v>2</x:v>
      </x:c>
      <x:c r="F27" s="66" t="n">
        <x:f aca="0"/>
        <x:v>191874</x:v>
      </x:c>
      <x:c r="G27" s="66" t="n">
        <x:f aca="0"/>
        <x:v>147595</x:v>
      </x:c>
      <x:c r="H27" s="64" t="str">
        <x:v>District collection through registered centres and producer take-back channels</x:v>
      </x:c>
      <x:c r="I27" s="64"/>
      <x:c r="J27" s="64"/>
      <x:c r="K27" s="64"/>
    </x:row>
    <x:row r="28" ht="39.599998474121094" hidden="0" customHeight="1">
      <x:c r="B28" s="64" t="str">
        <x:v>Navsari</x:v>
      </x:c>
      <x:c r="C28" s="64" t="n">
        <x:f>IFERROR(INDEX('1_Generation_Inventory'!$J$6:$J$39,MATCH(B28,'1_Generation_Inventory'!$B$6:$B$39,0)),0)</x:f>
        <x:v>1224254</x:v>
      </x:c>
      <x:c r="D28" s="64" t="n">
        <x:v>769321</x:v>
      </x:c>
      <x:c r="E28" s="64" t="n">
        <x:v>4</x:v>
      </x:c>
      <x:c r="F28" s="64" t="n">
        <x:v>795765</x:v>
      </x:c>
      <x:c r="G28" s="64" t="n">
        <x:v>769321</x:v>
      </x:c>
      <x:c r="H28" s="64" t="str">
        <x:v>District collection through registered centres and producer take-back channels</x:v>
      </x:c>
      <x:c r="I28" s="64"/>
      <x:c r="J28" s="64"/>
      <x:c r="K28" s="64"/>
    </x:row>
    <x:row r="29" ht="39.599998474121094" hidden="0" customHeight="1">
      <x:c r="B29" s="64" t="str">
        <x:v>Panchmahal</x:v>
      </x:c>
      <x:c r="C29" s="64" t="n">
        <x:f>IFERROR(INDEX('1_Generation_Inventory'!$J$6:$J$39,MATCH(B29,'1_Generation_Inventory'!$B$6:$B$39,0)),0)</x:f>
        <x:v>1361312</x:v>
      </x:c>
      <x:c r="D29" s="64" t="n">
        <x:v>747224</x:v>
      </x:c>
      <x:c r="E29" s="64" t="n">
        <x:v>6</x:v>
      </x:c>
      <x:c r="F29" s="64" t="n">
        <x:v>884853</x:v>
      </x:c>
      <x:c r="G29" s="64" t="n">
        <x:v>747224</x:v>
      </x:c>
      <x:c r="H29" s="64" t="str">
        <x:v>District collection through registered centres and producer take-back channels</x:v>
      </x:c>
      <x:c r="I29" s="64"/>
      <x:c r="J29" s="64"/>
      <x:c r="K29" s="64"/>
    </x:row>
    <x:row r="30" ht="39.599998474121094" hidden="0" customHeight="1">
      <x:c r="B30" s="64" t="str">
        <x:v>Patan</x:v>
      </x:c>
      <x:c r="C30" s="64" t="n">
        <x:f>IFERROR(INDEX('1_Generation_Inventory'!$J$6:$J$39,MATCH(B30,'1_Generation_Inventory'!$B$6:$B$39,0)),0)</x:f>
        <x:v>832503</x:v>
      </x:c>
      <x:c r="D30" s="64" t="n">
        <x:v>480687</x:v>
      </x:c>
      <x:c r="E30" s="64" t="n">
        <x:v>4</x:v>
      </x:c>
      <x:c r="F30" s="64" t="n">
        <x:v>541127</x:v>
      </x:c>
      <x:c r="G30" s="64" t="n">
        <x:v>480687</x:v>
      </x:c>
      <x:c r="H30" s="64" t="str">
        <x:v>District collection through registered centres and producer take-back channels</x:v>
      </x:c>
      <x:c r="I30" s="64"/>
      <x:c r="J30" s="64"/>
      <x:c r="K30" s="64"/>
    </x:row>
    <x:row r="31" ht="39.599998474121094" hidden="0" customHeight="1">
      <x:c r="B31" s="64" t="str">
        <x:v>Porbandar</x:v>
      </x:c>
      <x:c r="C31" s="64" t="n">
        <x:f>IFERROR(INDEX('1_Generation_Inventory'!$J$6:$J$39,MATCH(B31,'1_Generation_Inventory'!$B$6:$B$39,0)),0)</x:f>
        <x:v>457128</x:v>
      </x:c>
      <x:c r="D31" s="64" t="n">
        <x:v>256266</x:v>
      </x:c>
      <x:c r="E31" s="64" t="n">
        <x:v>2</x:v>
      </x:c>
      <x:c r="F31" s="64" t="n">
        <x:v>297133</x:v>
      </x:c>
      <x:c r="G31" s="64" t="n">
        <x:v>256266</x:v>
      </x:c>
      <x:c r="H31" s="64" t="str">
        <x:v>District collection through registered centres and producer take-back channels</x:v>
      </x:c>
      <x:c r="I31" s="64"/>
      <x:c r="J31" s="64"/>
      <x:c r="K31" s="64"/>
    </x:row>
    <x:row r="32" ht="39.599998474121094" hidden="0" customHeight="1">
      <x:c r="B32" s="64" t="str">
        <x:v>Rajkot</x:v>
      </x:c>
      <x:c r="C32" s="64" t="n">
        <x:f>IFERROR(INDEX('1_Generation_Inventory'!$J$6:$J$39,MATCH(B32,'1_Generation_Inventory'!$B$6:$B$39,0)),0)</x:f>
        <x:v>3473444</x:v>
      </x:c>
      <x:c r="D32" s="64" t="n">
        <x:v>2299420</x:v>
      </x:c>
      <x:c r="E32" s="64" t="n">
        <x:v>10</x:v>
      </x:c>
      <x:c r="F32" s="64" t="n">
        <x:v>2257739</x:v>
      </x:c>
      <x:c r="G32" s="64" t="n">
        <x:v>2257739</x:v>
      </x:c>
      <x:c r="H32" s="64" t="str">
        <x:v>District collection through registered centres and producer take-back channels</x:v>
      </x:c>
      <x:c r="I32" s="64"/>
      <x:c r="J32" s="64"/>
      <x:c r="K32" s="64"/>
    </x:row>
    <x:row r="33" ht="39.599998474121094" hidden="0" customHeight="1">
      <x:c r="B33" s="64" t="str">
        <x:v>Sabarkantha</x:v>
      </x:c>
      <x:c r="C33" s="64" t="n">
        <x:f>IFERROR(INDEX('1_Generation_Inventory'!$J$6:$J$39,MATCH(B33,'1_Generation_Inventory'!$B$6:$B$39,0)),0)</x:f>
        <x:v>1598083</x:v>
      </x:c>
      <x:c r="D33" s="64" t="n">
        <x:v>887735</x:v>
      </x:c>
      <x:c r="E33" s="64" t="n">
        <x:v>7</x:v>
      </x:c>
      <x:c r="F33" s="64" t="n">
        <x:v>1038754</x:v>
      </x:c>
      <x:c r="G33" s="64" t="n">
        <x:v>887735</x:v>
      </x:c>
      <x:c r="H33" s="64" t="str">
        <x:v>District collection through registered centres and producer take-back channels</x:v>
      </x:c>
      <x:c r="I33" s="64"/>
      <x:c r="J33" s="64"/>
      <x:c r="K33" s="64"/>
    </x:row>
    <x:row r="34" ht="39.599998474121094" hidden="0" customHeight="1">
      <x:c r="B34" s="64" t="str">
        <x:v>Surat</x:v>
      </x:c>
      <x:c r="C34" s="64" t="n">
        <x:f>IFERROR(INDEX('1_Generation_Inventory'!$J$6:$J$39,MATCH(B34,'1_Generation_Inventory'!$B$6:$B$39,0)),0)</x:f>
        <x:v>7784092</x:v>
      </x:c>
      <x:c r="D34" s="64" t="n">
        <x:v>5764899</x:v>
      </x:c>
      <x:c r="E34" s="64" t="n">
        <x:v>19</x:v>
      </x:c>
      <x:c r="F34" s="64" t="n">
        <x:v>5059660</x:v>
      </x:c>
      <x:c r="G34" s="64" t="n">
        <x:v>4553694</x:v>
      </x:c>
      <x:c r="H34" s="64" t="str">
        <x:v>District collection through registered centres and producer take-back channels</x:v>
      </x:c>
      <x:c r="I34" s="64"/>
      <x:c r="J34" s="64"/>
      <x:c r="K34" s="64"/>
    </x:row>
    <x:row r="35" ht="39.599998474121094" hidden="0" customHeight="1">
      <x:c r="B35" s="64" t="str">
        <x:v>Surendranagar</x:v>
      </x:c>
      <x:c r="C35" s="64" t="n">
        <x:f>IFERROR(INDEX('1_Generation_Inventory'!$J$6:$J$39,MATCH(B35,'1_Generation_Inventory'!$B$6:$B$39,0)),0)</x:f>
        <x:v>1229111</x:v>
      </x:c>
      <x:c r="D35" s="64" t="n">
        <x:v>736237</x:v>
      </x:c>
      <x:c r="E35" s="64" t="n">
        <x:v>5</x:v>
      </x:c>
      <x:c r="F35" s="64" t="n">
        <x:v>798922</x:v>
      </x:c>
      <x:c r="G35" s="64" t="n">
        <x:v>736237</x:v>
      </x:c>
      <x:c r="H35" s="64" t="str">
        <x:v>District collection through registered centres and producer take-back channels</x:v>
      </x:c>
      <x:c r="I35" s="64"/>
      <x:c r="J35" s="64"/>
      <x:c r="K35" s="64"/>
    </x:row>
    <x:row r="36" ht="39.599998474121094" hidden="0" customHeight="1">
      <x:c r="B36" s="64" t="str">
        <x:v>Tapi</x:v>
      </x:c>
      <x:c r="C36" s="64" t="n">
        <x:f>IFERROR(INDEX('1_Generation_Inventory'!$J$6:$J$39,MATCH(B36,'1_Generation_Inventory'!$B$6:$B$39,0)),0)</x:f>
        <x:v>387115</x:v>
      </x:c>
      <x:c r="D36" s="64" t="n">
        <x:v>185660</x:v>
      </x:c>
      <x:c r="E36" s="64" t="n">
        <x:v>2</x:v>
      </x:c>
      <x:c r="F36" s="64" t="n">
        <x:v>251625</x:v>
      </x:c>
      <x:c r="G36" s="64" t="n">
        <x:v>185660</x:v>
      </x:c>
      <x:c r="H36" s="64" t="str">
        <x:v>District collection through registered centres and producer take-back channels</x:v>
      </x:c>
      <x:c r="I36" s="64"/>
      <x:c r="J36" s="64"/>
      <x:c r="K36" s="64"/>
    </x:row>
    <x:row r="37" ht="39.599998474121094" hidden="0" customHeight="1">
      <x:c r="B37" s="64" t="str">
        <x:v>Vadodara</x:v>
      </x:c>
      <x:c r="C37" s="64" t="n">
        <x:f>IFERROR(INDEX('1_Generation_Inventory'!$J$6:$J$39,MATCH(B37,'1_Generation_Inventory'!$B$6:$B$39,0)),0)</x:f>
        <x:v>4076548</x:v>
      </x:c>
      <x:c r="D37" s="64" t="n">
        <x:v>2720688</x:v>
      </x:c>
      <x:c r="E37" s="64" t="n">
        <x:v>11</x:v>
      </x:c>
      <x:c r="F37" s="64" t="n">
        <x:v>2649756</x:v>
      </x:c>
      <x:c r="G37" s="64" t="n">
        <x:v>2720688</x:v>
      </x:c>
      <x:c r="H37" s="64" t="str">
        <x:v>District collection through registered centres and producer take-back channels</x:v>
      </x:c>
      <x:c r="I37" s="64"/>
      <x:c r="J37" s="64"/>
      <x:c r="K37" s="64"/>
    </x:row>
    <x:row r="38" ht="39.599998474121094" hidden="0" customHeight="1">
      <x:c r="B38" s="64" t="str">
        <x:v>Valsad</x:v>
      </x:c>
      <x:c r="C38" s="64" t="n">
        <x:f>IFERROR(INDEX('1_Generation_Inventory'!$J$6:$J$39,MATCH(B38,'1_Generation_Inventory'!$B$6:$B$39,0)),0)</x:f>
        <x:v>1583853</x:v>
      </x:c>
      <x:c r="D38" s="64" t="n">
        <x:v>999570</x:v>
      </x:c>
      <x:c r="E38" s="64" t="n">
        <x:v>5</x:v>
      </x:c>
      <x:c r="F38" s="64" t="n">
        <x:v>1029504</x:v>
      </x:c>
      <x:c r="G38" s="64" t="n">
        <x:v>926554</x:v>
      </x:c>
      <x:c r="H38" s="64" t="str">
        <x:v>District collection through registered centres and producer take-back channels</x:v>
      </x:c>
      <x:c r="I38" s="64"/>
      <x:c r="J38" s="64"/>
      <x:c r="K38" s="64"/>
    </x:row>
    <x:row r="39" ht="39.599998474121094" hidden="0" customHeight="1">
      <x:c r="B39" s="64" t="str">
        <x:v>Vav-Tharad</x:v>
      </x:c>
      <x:c r="C39" s="64" t="n">
        <x:f>IFERROR(INDEX('1_Generation_Inventory'!$J$6:$J$39,MATCH(B39,'1_Generation_Inventory'!$B$6:$B$39,0)),0)</x:f>
        <x:v>508997</x:v>
      </x:c>
      <x:c r="D39" s="64" t="n">
        <x:v>272517</x:v>
      </x:c>
      <x:c r="E39" s="64" t="n">
        <x:v>3</x:v>
      </x:c>
      <x:c r="F39" s="64" t="n">
        <x:v>330848</x:v>
      </x:c>
      <x:c r="G39" s="64" t="n">
        <x:v>272517</x:v>
      </x:c>
      <x:c r="H39" s="64" t="str">
        <x:v>District collection through registered centres and producer take-back channels</x:v>
      </x:c>
      <x:c r="I39" s="64"/>
      <x:c r="J39" s="64"/>
      <x:c r="K39" s="64"/>
    </x:row>
    <x:row r="40" ht="15" hidden="0" customHeight="1">
      <x:c r="B40" s="64" t="str">
        <x:v>STATE TOTAL</x:v>
      </x:c>
      <x:c r="C40" s="64" t="n">
        <x:f>SUM(C6:C39)</x:f>
        <x:v>58612909</x:v>
      </x:c>
      <x:c r="D40" s="64" t="n">
        <x:f>SUM(D6:D39)</x:f>
        <x:v>37542353</x:v>
      </x:c>
      <x:c r="E40" s="64" t="n">
        <x:f>SUM(E6:E39)</x:f>
        <x:v>195</x:v>
      </x:c>
      <x:c r="F40" s="64" t="n">
        <x:f>SUM(F6:F39)</x:f>
        <x:v>38098391</x:v>
      </x:c>
      <x:c r="G40" s="64" t="n">
        <x:f>SUM(G6:G39)</x:f>
        <x:v>34739036</x:v>
      </x:c>
      <x:c r="H40" s="64"/>
      <x:c r="I40" s="64"/>
      <x:c r="J40" s="64"/>
      <x:c r="K40" s="64"/>
    </x:row>
    <x:row r="41" ht="15" hidden="0" customHeight="1"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</x:row>
    <x:row r="42" ht="15" hidden="0" customHeight="1"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</x:row>
    <x:row r="43" ht="15" hidden="0" customHeight="1"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</x:row>
    <x:row r="44" ht="15" hidden="0" customHeight="1"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</x:row>
    <x:row r="45" ht="15" hidden="0" customHeight="1"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</x:row>
    <x:row r="46" ht="15" hidden="0" customHeight="1"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</x:row>
  </x:sheetData>
  <x:mergeCells>
    <x:mergeCell ref="A2:G2"/>
    <x:mergeCell ref="B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36" hidden="0" customWidth="1"/>
    <x:col min="3" max="3" width="22" hidden="0" customWidth="1"/>
    <x:col min="4" max="4" width="18" hidden="0" customWidth="1"/>
    <x:col min="5" max="5" width="18" hidden="0" customWidth="1"/>
    <x:col min="6" max="6" width="22" hidden="0" customWidth="1"/>
    <x:col min="7" max="8" width="18" hidden="0" customWidth="1"/>
    <x:col min="7" max="7" width="18" hidden="0" customWidth="1"/>
    <x:col min="8" max="8" width="18" hidden="0" customWidth="1"/>
  </x:cols>
  <x:sheetData>
    <x:row r="2" ht="25.5" hidden="0" customHeight="1">
      <x:c r="A2" s="1" t="s">
        <x:v>60</x:v>
      </x:c>
      <x:c r="B2" s="1"/>
      <x:c r="C2" s="1"/>
      <x:c r="D2" s="1"/>
      <x:c r="E2" s="1"/>
      <x:c r="F2" s="1"/>
      <x:c r="G2" s="1"/>
    </x:row>
    <x:row r="3" ht="15" hidden="0">
      <x:c r="B3" s="2" t="s">
        <x:v>61</x:v>
      </x:c>
      <x:c r="C3" s="2"/>
      <x:c r="D3" s="2"/>
      <x:c r="E3" s="2"/>
      <x:c r="F3" s="2"/>
      <x:c r="G3" s="2"/>
      <x:c r="H3" s="2"/>
    </x:row>
    <x:row r="5" ht="24" hidden="0" customHeight="1">
      <x:c r="B5" s="60" t="s">
        <x:v>62</x:v>
      </x:c>
      <x:c r="C5" s="60" t="s">
        <x:v>63</x:v>
      </x:c>
      <x:c r="D5" s="60" t="s">
        <x:v>42</x:v>
      </x:c>
      <x:c r="E5" s="60" t="s">
        <x:v>64</x:v>
      </x:c>
      <x:c r="F5" s="60" t="s">
        <x:v>65</x:v>
      </x:c>
      <x:c r="G5" s="60" t="s">
        <x:v>66</x:v>
      </x:c>
      <x:c r="H5" s="60" t="s">
        <x:v>67</x:v>
      </x:c>
      <x:c r="I5" s="64"/>
      <x:c r="J5" s="64"/>
      <x:c r="K5" s="64"/>
    </x:row>
    <x:row r="6" ht="24" hidden="0" customHeight="1">
      <x:c r="B6" s="61" t="str">
        <x:v>Ahmedabad Authorized E-Waste Recovery Centre</x:v>
      </x:c>
      <x:c r="C6" s="61" t="str">
        <x:v>GPCB/EW/2026/001</x:v>
      </x:c>
      <x:c r="D6" s="61" t="str">
        <x:v>Ahmedabad</x:v>
      </x:c>
      <x:c r="E6" s="61" t="n">
        <x:v>10220</x:v>
      </x:c>
      <x:c r="F6" s="61" t="n">
        <x:v>6388</x:v>
      </x:c>
      <x:c r="G6" s="70" t="n">
        <x:v>0.72</x:v>
      </x:c>
      <x:c r="H6" s="54" t="n">
        <x:v>47208</x:v>
      </x:c>
      <x:c r="I6" s="64"/>
      <x:c r="J6" s="64"/>
      <x:c r="K6" s="64"/>
    </x:row>
    <x:row r="7" ht="24" hidden="0" customHeight="1">
      <x:c r="B7" s="62" t="str">
        <x:v>Amreli Authorized E-Waste Recovery Centre</x:v>
      </x:c>
      <x:c r="C7" s="62" t="str">
        <x:v>GPCB/EW/2026/002</x:v>
      </x:c>
      <x:c r="D7" s="62" t="str">
        <x:v>Amreli</x:v>
      </x:c>
      <x:c r="E7" s="62" t="n">
        <x:v>990</x:v>
      </x:c>
      <x:c r="F7" s="62" t="n">
        <x:v>663</x:v>
      </x:c>
      <x:c r="G7" s="71" t="n">
        <x:v>0.75</x:v>
      </x:c>
      <x:c r="H7" s="55" t="n">
        <x:v>47756</x:v>
      </x:c>
      <x:c r="I7" s="64"/>
      <x:c r="J7" s="64"/>
      <x:c r="K7" s="64"/>
    </x:row>
    <x:row r="8" ht="24" hidden="0" customHeight="1">
      <x:c r="B8" s="62" t="str">
        <x:v>Anand Authorized E-Waste Recovery Centre</x:v>
      </x:c>
      <x:c r="C8" s="62" t="str">
        <x:v>GPCB/EW/2026/003</x:v>
      </x:c>
      <x:c r="D8" s="62" t="str">
        <x:v>Anand</x:v>
      </x:c>
      <x:c r="E8" s="62" t="n">
        <x:v>1930</x:v>
      </x:c>
      <x:c r="F8" s="62" t="n">
        <x:v>1380</x:v>
      </x:c>
      <x:c r="G8" s="71" t="n">
        <x:v>0.77</x:v>
      </x:c>
      <x:c r="H8" s="55" t="n">
        <x:v>46843</x:v>
      </x:c>
      <x:c r="I8" s="64"/>
      <x:c r="J8" s="64"/>
      <x:c r="K8" s="64"/>
    </x:row>
    <x:row r="9" ht="24" hidden="0" customHeight="1">
      <x:c r="B9" s="62" t="str">
        <x:v>Aravalli Authorized E-Waste Recovery Centre</x:v>
      </x:c>
      <x:c r="C9" s="62" t="str">
        <x:v>GPCB/EW/2026/004</x:v>
      </x:c>
      <x:c r="D9" s="62" t="str">
        <x:v>Aravalli</x:v>
      </x:c>
      <x:c r="E9" s="62" t="n">
        <x:v>610</x:v>
      </x:c>
      <x:c r="F9" s="62" t="n">
        <x:v>464</x:v>
      </x:c>
      <x:c r="G9" s="71" t="n">
        <x:v>0.8</x:v>
      </x:c>
      <x:c r="H9" s="55" t="n">
        <x:v>47391</x:v>
      </x:c>
      <x:c r="I9" s="64"/>
      <x:c r="J9" s="64"/>
      <x:c r="K9" s="64"/>
    </x:row>
    <x:row r="10" ht="24" hidden="0" customHeight="1">
      <x:c r="B10" s="62" t="str">
        <x:v>Banaskantha Authorized E-Waste Recovery Centre</x:v>
      </x:c>
      <x:c r="C10" s="62" t="str">
        <x:v>GPCB/EW/2026/005</x:v>
      </x:c>
      <x:c r="D10" s="62" t="str">
        <x:v>Banaskantha</x:v>
      </x:c>
      <x:c r="E10" s="62" t="n">
        <x:v>1300</x:v>
      </x:c>
      <x:c r="F10" s="62" t="n">
        <x:v>1046</x:v>
      </x:c>
      <x:c r="G10" s="71" t="n">
        <x:v>0.82</x:v>
      </x:c>
      <x:c r="H10" s="55" t="n">
        <x:v>47573</x:v>
      </x:c>
      <x:c r="I10" s="64"/>
      <x:c r="J10" s="64"/>
      <x:c r="K10" s="64"/>
    </x:row>
    <x:row r="11" ht="24" hidden="0" customHeight="1">
      <x:c r="B11" s="62" t="str">
        <x:v>Bharuch Authorized E-Waste Recovery Centre</x:v>
      </x:c>
      <x:c r="C11" s="62" t="str">
        <x:v>GPCB/EW/2026/006</x:v>
      </x:c>
      <x:c r="D11" s="62" t="str">
        <x:v>Bharuch</x:v>
      </x:c>
      <x:c r="E11" s="62" t="n">
        <x:v>1550</x:v>
      </x:c>
      <x:c r="F11" s="62" t="n">
        <x:v>1318</x:v>
      </x:c>
      <x:c r="G11" s="71" t="n">
        <x:v>0.85</x:v>
      </x:c>
      <x:c r="H11" s="55" t="n">
        <x:v>47026</x:v>
      </x:c>
      <x:c r="I11" s="64"/>
      <x:c r="J11" s="64"/>
      <x:c r="K11" s="64"/>
    </x:row>
    <x:row r="12" ht="24" hidden="0" customHeight="1">
      <x:c r="B12" s="62" t="str">
        <x:v>Bhavnagar Authorized E-Waste Recovery Centre</x:v>
      </x:c>
      <x:c r="C12" s="62" t="str">
        <x:v>GPCB/EW/2026/007</x:v>
      </x:c>
      <x:c r="D12" s="62" t="str">
        <x:v>Bhavnagar</x:v>
      </x:c>
      <x:c r="E12" s="62" t="n">
        <x:v>2480</x:v>
      </x:c>
      <x:c r="F12" s="62" t="n">
        <x:v>1438</x:v>
      </x:c>
      <x:c r="G12" s="71" t="n">
        <x:v>0.88</x:v>
      </x:c>
      <x:c r="H12" s="55" t="n">
        <x:v>47208</x:v>
      </x:c>
      <x:c r="I12" s="64"/>
      <x:c r="J12" s="64"/>
      <x:c r="K12" s="64"/>
    </x:row>
    <x:row r="13" ht="24" hidden="0" customHeight="1">
      <x:c r="B13" s="62" t="str">
        <x:v>Botad Authorized E-Waste Recovery Centre</x:v>
      </x:c>
      <x:c r="C13" s="62" t="str">
        <x:v>GPCB/EW/2026/008</x:v>
      </x:c>
      <x:c r="D13" s="62" t="str">
        <x:v>Botad</x:v>
      </x:c>
      <x:c r="E13" s="62" t="n">
        <x:v>400</x:v>
      </x:c>
      <x:c r="F13" s="62" t="n">
        <x:v>250</x:v>
      </x:c>
      <x:c r="G13" s="71" t="n">
        <x:v>0.7</x:v>
      </x:c>
      <x:c r="H13" s="55" t="n">
        <x:v>47756</x:v>
      </x:c>
      <x:c r="I13" s="64"/>
      <x:c r="J13" s="64"/>
      <x:c r="K13" s="64"/>
    </x:row>
    <x:row r="14" ht="24" hidden="0" customHeight="1">
      <x:c r="B14" s="62" t="str">
        <x:v>Chhota Udaipur Authorized E-Waste Recovery Centre</x:v>
      </x:c>
      <x:c r="C14" s="62" t="str">
        <x:v>GPCB/EW/2026/009</x:v>
      </x:c>
      <x:c r="D14" s="62" t="str">
        <x:v>Chhota Udaipur</x:v>
      </x:c>
      <x:c r="E14" s="62" t="n">
        <x:v>520</x:v>
      </x:c>
      <x:c r="F14" s="62" t="n">
        <x:v>348</x:v>
      </x:c>
      <x:c r="G14" s="71" t="n">
        <x:v>0.72</x:v>
      </x:c>
      <x:c r="H14" s="55" t="n">
        <x:v>46843</x:v>
      </x:c>
      <x:c r="I14" s="64"/>
      <x:c r="J14" s="64"/>
      <x:c r="K14" s="64"/>
    </x:row>
    <x:row r="15" ht="24" hidden="0" customHeight="1">
      <x:c r="B15" s="62" t="str">
        <x:v>Dahod Authorized E-Waste Recovery Centre</x:v>
      </x:c>
      <x:c r="C15" s="62" t="str">
        <x:v>GPCB/EW/2026/010</x:v>
      </x:c>
      <x:c r="D15" s="62" t="str">
        <x:v>Dahod</x:v>
      </x:c>
      <x:c r="E15" s="62" t="n">
        <x:v>1050</x:v>
      </x:c>
      <x:c r="F15" s="62" t="n">
        <x:v>751</x:v>
      </x:c>
      <x:c r="G15" s="71" t="n">
        <x:v>0.75</x:v>
      </x:c>
      <x:c r="H15" s="55" t="n">
        <x:v>47391</x:v>
      </x:c>
      <x:c r="I15" s="64"/>
      <x:c r="J15" s="64"/>
      <x:c r="K15" s="64"/>
    </x:row>
    <x:row r="16" ht="24" hidden="0" customHeight="1">
      <x:c r="B16" s="62" t="str">
        <x:v>Dang Authorized E-Waste Recovery Centre</x:v>
      </x:c>
      <x:c r="C16" s="62" t="str">
        <x:v>GPCB/EW/2026/011</x:v>
      </x:c>
      <x:c r="D16" s="62" t="str">
        <x:v>Dang</x:v>
      </x:c>
      <x:c r="E16" s="62" t="n">
        <x:v>120</x:v>
      </x:c>
      <x:c r="F16" s="62" t="n">
        <x:v>91</x:v>
      </x:c>
      <x:c r="G16" s="71" t="n">
        <x:v>0.77</x:v>
      </x:c>
      <x:c r="H16" s="55" t="n">
        <x:v>47573</x:v>
      </x:c>
      <x:c r="I16" s="64"/>
      <x:c r="J16" s="64"/>
      <x:c r="K16" s="64"/>
    </x:row>
    <x:row r="17" ht="24" hidden="0" customHeight="1">
      <x:c r="B17" s="62" t="str">
        <x:v>Devbhoomi Dwarka Authorized E-Waste Recovery Centre</x:v>
      </x:c>
      <x:c r="C17" s="62" t="str">
        <x:v>GPCB/EW/2026/012</x:v>
      </x:c>
      <x:c r="D17" s="62" t="str">
        <x:v>Devbhoomi Dwarka</x:v>
      </x:c>
      <x:c r="E17" s="62" t="n">
        <x:v>500</x:v>
      </x:c>
      <x:c r="F17" s="62" t="n">
        <x:v>402</x:v>
      </x:c>
      <x:c r="G17" s="71" t="n">
        <x:v>0.8</x:v>
      </x:c>
      <x:c r="H17" s="55" t="n">
        <x:v>47026</x:v>
      </x:c>
      <x:c r="I17" s="64"/>
      <x:c r="J17" s="64"/>
      <x:c r="K17" s="64"/>
    </x:row>
    <x:row r="18" ht="24" hidden="0" customHeight="1">
      <x:c r="B18" s="62" t="str">
        <x:v>Gandhinagar Authorized E-Waste Recovery Centre</x:v>
      </x:c>
      <x:c r="C18" s="62" t="str">
        <x:v>GPCB/EW/2026/013</x:v>
      </x:c>
      <x:c r="D18" s="62" t="str">
        <x:v>Gandhinagar</x:v>
      </x:c>
      <x:c r="E18" s="62" t="n">
        <x:v>1680</x:v>
      </x:c>
      <x:c r="F18" s="62" t="n">
        <x:v>1428</x:v>
      </x:c>
      <x:c r="G18" s="71" t="n">
        <x:v>0.82</x:v>
      </x:c>
      <x:c r="H18" s="55" t="n">
        <x:v>47208</x:v>
      </x:c>
      <x:c r="I18" s="64"/>
      <x:c r="J18" s="64"/>
      <x:c r="K18" s="64"/>
    </x:row>
    <x:row r="19" ht="24" hidden="0" customHeight="1">
      <x:c r="B19" s="62" t="str">
        <x:v>Gir Somnath Authorized E-Waste Recovery Centre</x:v>
      </x:c>
      <x:c r="C19" s="62" t="str">
        <x:v>GPCB/EW/2026/014</x:v>
      </x:c>
      <x:c r="D19" s="62" t="str">
        <x:v>Gir Somnath</x:v>
      </x:c>
      <x:c r="E19" s="62" t="n">
        <x:v>890</x:v>
      </x:c>
      <x:c r="F19" s="62" t="n">
        <x:v>516</x:v>
      </x:c>
      <x:c r="G19" s="71" t="n">
        <x:v>0.85</x:v>
      </x:c>
      <x:c r="H19" s="55" t="n">
        <x:v>47756</x:v>
      </x:c>
      <x:c r="I19" s="64"/>
      <x:c r="J19" s="64"/>
      <x:c r="K19" s="64"/>
    </x:row>
    <x:row r="20" ht="24" hidden="0" customHeight="1">
      <x:c r="B20" s="62" t="str">
        <x:v>Jamnagar Authorized E-Waste Recovery Centre</x:v>
      </x:c>
      <x:c r="C20" s="62" t="str">
        <x:v>GPCB/EW/2026/015</x:v>
      </x:c>
      <x:c r="D20" s="62" t="str">
        <x:v>Jamnagar</x:v>
      </x:c>
      <x:c r="E20" s="62" t="n">
        <x:v>2000</x:v>
      </x:c>
      <x:c r="F20" s="62" t="n">
        <x:v>1250</x:v>
      </x:c>
      <x:c r="G20" s="71" t="n">
        <x:v>0.88</x:v>
      </x:c>
      <x:c r="H20" s="55" t="n">
        <x:v>46843</x:v>
      </x:c>
      <x:c r="I20" s="64"/>
      <x:c r="J20" s="64"/>
      <x:c r="K20" s="64"/>
    </x:row>
    <x:row r="21" ht="24" hidden="0" customHeight="1">
      <x:c r="B21" s="62" t="str">
        <x:v>Junagadh Authorized E-Waste Recovery Centre</x:v>
      </x:c>
      <x:c r="C21" s="62" t="str">
        <x:v>GPCB/EW/2026/016</x:v>
      </x:c>
      <x:c r="D21" s="62" t="str">
        <x:v>Junagadh</x:v>
      </x:c>
      <x:c r="E21" s="62" t="n">
        <x:v>2070</x:v>
      </x:c>
      <x:c r="F21" s="62" t="n">
        <x:v>1387</x:v>
      </x:c>
      <x:c r="G21" s="71" t="n">
        <x:v>0.7</x:v>
      </x:c>
      <x:c r="H21" s="55" t="n">
        <x:v>47391</x:v>
      </x:c>
      <x:c r="I21" s="64"/>
      <x:c r="J21" s="64"/>
      <x:c r="K21" s="64"/>
    </x:row>
    <x:row r="22" ht="24" hidden="0" customHeight="1">
      <x:c r="B22" s="62" t="str">
        <x:v>Kheda Authorized E-Waste Recovery Centre</x:v>
      </x:c>
      <x:c r="C22" s="62" t="str">
        <x:v>GPCB/EW/2026/017</x:v>
      </x:c>
      <x:c r="D22" s="62" t="str">
        <x:v>Kheda</x:v>
      </x:c>
      <x:c r="E22" s="62" t="n">
        <x:v>1880</x:v>
      </x:c>
      <x:c r="F22" s="62" t="n">
        <x:v>1344</x:v>
      </x:c>
      <x:c r="G22" s="71" t="n">
        <x:v>0.72</x:v>
      </x:c>
      <x:c r="H22" s="55" t="n">
        <x:v>47573</x:v>
      </x:c>
      <x:c r="I22" s="64"/>
      <x:c r="J22" s="64"/>
      <x:c r="K22" s="64"/>
    </x:row>
    <x:row r="23" ht="24" hidden="0" customHeight="1">
      <x:c r="B23" s="62" t="str">
        <x:v>Kutch Authorized E-Waste Recovery Centre</x:v>
      </x:c>
      <x:c r="C23" s="62" t="str">
        <x:v>GPCB/EW/2026/018</x:v>
      </x:c>
      <x:c r="D23" s="62" t="str">
        <x:v>Kutch</x:v>
      </x:c>
      <x:c r="E23" s="62" t="n">
        <x:v>1800</x:v>
      </x:c>
      <x:c r="F23" s="62" t="n">
        <x:v>1368</x:v>
      </x:c>
      <x:c r="G23" s="71" t="n">
        <x:v>0.75</x:v>
      </x:c>
      <x:c r="H23" s="55" t="n">
        <x:v>47026</x:v>
      </x:c>
      <x:c r="I23" s="64"/>
      <x:c r="J23" s="64"/>
      <x:c r="K23" s="64"/>
    </x:row>
    <x:row r="24" ht="24" hidden="0" customHeight="1">
      <x:c r="B24" s="62" t="str">
        <x:v>Mahisagar Authorized E-Waste Recovery Centre</x:v>
      </x:c>
      <x:c r="C24" s="62" t="str">
        <x:v>GPCB/EW/2026/019</x:v>
      </x:c>
      <x:c r="D24" s="62" t="str">
        <x:v>Mahisagar</x:v>
      </x:c>
      <x:c r="E24" s="62" t="n">
        <x:v>520</x:v>
      </x:c>
      <x:c r="F24" s="62" t="n">
        <x:v>419</x:v>
      </x:c>
      <x:c r="G24" s="71" t="n">
        <x:v>0.77</x:v>
      </x:c>
      <x:c r="H24" s="55" t="n">
        <x:v>47208</x:v>
      </x:c>
      <x:c r="I24" s="64"/>
      <x:c r="J24" s="64"/>
      <x:c r="K24" s="64"/>
    </x:row>
    <x:row r="25" ht="24" hidden="0" customHeight="1">
      <x:c r="B25" s="62" t="str">
        <x:v>Mehsana Authorized E-Waste Recovery Centre</x:v>
      </x:c>
      <x:c r="C25" s="62" t="str">
        <x:v>GPCB/EW/2026/020</x:v>
      </x:c>
      <x:c r="D25" s="62" t="str">
        <x:v>Mehsana</x:v>
      </x:c>
      <x:c r="E25" s="62" t="n">
        <x:v>1960</x:v>
      </x:c>
      <x:c r="F25" s="62" t="n">
        <x:v>1666</x:v>
      </x:c>
      <x:c r="G25" s="71" t="n">
        <x:v>0.8</x:v>
      </x:c>
      <x:c r="H25" s="55" t="n">
        <x:v>47756</x:v>
      </x:c>
      <x:c r="I25" s="64"/>
      <x:c r="J25" s="64"/>
      <x:c r="K25" s="64"/>
    </x:row>
    <x:row r="26" ht="24" hidden="0" customHeight="1">
      <x:c r="B26" s="62" t="str">
        <x:v>Morbi Authorized E-Waste Recovery Centre</x:v>
      </x:c>
      <x:c r="C26" s="62" t="str">
        <x:v>GPCB/EW/2026/021</x:v>
      </x:c>
      <x:c r="D26" s="62" t="str">
        <x:v>Morbi</x:v>
      </x:c>
      <x:c r="E26" s="62" t="n">
        <x:v>1060</x:v>
      </x:c>
      <x:c r="F26" s="62" t="n">
        <x:v>615</x:v>
      </x:c>
      <x:c r="G26" s="71" t="n">
        <x:v>0.82</x:v>
      </x:c>
      <x:c r="H26" s="55" t="n">
        <x:v>46843</x:v>
      </x:c>
      <x:c r="I26" s="64"/>
      <x:c r="J26" s="64"/>
      <x:c r="K26" s="64"/>
    </x:row>
    <x:row r="27" ht="26.399999618530273" hidden="0" customHeight="1">
      <x:c r="B27" s="64" t="str">
        <x:v>Narmada Authorized E-Waste Recovery Centre</x:v>
      </x:c>
      <x:c r="C27" s="64" t="str">
        <x:v>GPCB/EW/2026/022</x:v>
      </x:c>
      <x:c r="D27" s="64" t="str">
        <x:v>Narmada</x:v>
      </x:c>
      <x:c r="E27" s="64" t="n">
        <x:v>310</x:v>
      </x:c>
      <x:c r="F27" s="64" t="n">
        <x:v>194</x:v>
      </x:c>
      <x:c r="G27" s="64" t="n">
        <x:v>0.85</x:v>
      </x:c>
      <x:c r="H27" s="65" t="n">
        <x:v>47391</x:v>
      </x:c>
      <x:c r="I27" s="64"/>
      <x:c r="J27" s="64"/>
      <x:c r="K27" s="64"/>
    </x:row>
    <x:row r="28" ht="24" hidden="0" customHeight="1">
      <x:c r="B28" s="66" t="str">
        <x:v>Navsari Authorized E-Waste Recovery Centre</x:v>
      </x:c>
      <x:c r="C28" s="64" t="str">
        <x:v>GPCB/EW/2026/023</x:v>
      </x:c>
      <x:c r="D28" s="66" t="str">
        <x:f aca="0"/>
        <x:v>Navsari</x:v>
      </x:c>
      <x:c r="E28" s="66" t="n">
        <x:f aca="0"/>
        <x:v>1290</x:v>
      </x:c>
      <x:c r="F28" s="72" t="n">
        <x:f aca="0"/>
        <x:v>864</x:v>
      </x:c>
      <x:c r="G28" s="64" t="n">
        <x:v>0.88</x:v>
      </x:c>
      <x:c r="H28" s="65" t="n">
        <x:v>47573</x:v>
      </x:c>
      <x:c r="I28" s="64"/>
      <x:c r="J28" s="64"/>
      <x:c r="K28" s="64"/>
    </x:row>
    <x:row r="29" ht="26.399999618530273" hidden="0" customHeight="1">
      <x:c r="B29" s="64" t="str">
        <x:v>Panchmahal Authorized E-Waste Recovery Centre</x:v>
      </x:c>
      <x:c r="C29" s="64" t="str">
        <x:v>GPCB/EW/2026/024</x:v>
      </x:c>
      <x:c r="D29" s="64" t="str">
        <x:v>Panchmahal</x:v>
      </x:c>
      <x:c r="E29" s="64" t="n">
        <x:v>1430</x:v>
      </x:c>
      <x:c r="F29" s="64" t="n">
        <x:v>1022</x:v>
      </x:c>
      <x:c r="G29" s="64" t="n">
        <x:v>0.7</x:v>
      </x:c>
      <x:c r="H29" s="65" t="n">
        <x:v>47026</x:v>
      </x:c>
      <x:c r="I29" s="64"/>
      <x:c r="J29" s="64"/>
      <x:c r="K29" s="64"/>
    </x:row>
    <x:row r="30" ht="26.399999618530273" hidden="0" customHeight="1">
      <x:c r="B30" s="64" t="str">
        <x:v>Patan Authorized E-Waste Recovery Centre</x:v>
      </x:c>
      <x:c r="C30" s="64" t="str">
        <x:v>GPCB/EW/2026/025</x:v>
      </x:c>
      <x:c r="D30" s="64" t="str">
        <x:v>Patan</x:v>
      </x:c>
      <x:c r="E30" s="64" t="n">
        <x:v>870</x:v>
      </x:c>
      <x:c r="F30" s="64" t="n">
        <x:v>661</x:v>
      </x:c>
      <x:c r="G30" s="64" t="n">
        <x:v>0.72</x:v>
      </x:c>
      <x:c r="H30" s="65" t="n">
        <x:v>47208</x:v>
      </x:c>
      <x:c r="I30" s="64"/>
      <x:c r="J30" s="64"/>
      <x:c r="K30" s="64"/>
    </x:row>
    <x:row r="31" ht="26.399999618530273" hidden="0" customHeight="1">
      <x:c r="B31" s="64" t="str">
        <x:v>Porbandar Authorized E-Waste Recovery Centre</x:v>
      </x:c>
      <x:c r="C31" s="64" t="str">
        <x:v>GPCB/EW/2026/026</x:v>
      </x:c>
      <x:c r="D31" s="64" t="str">
        <x:v>Porbandar</x:v>
      </x:c>
      <x:c r="E31" s="64" t="n">
        <x:v>480</x:v>
      </x:c>
      <x:c r="F31" s="64" t="n">
        <x:v>386</x:v>
      </x:c>
      <x:c r="G31" s="64" t="n">
        <x:v>0.75</x:v>
      </x:c>
      <x:c r="H31" s="65" t="n">
        <x:v>47756</x:v>
      </x:c>
      <x:c r="I31" s="64"/>
      <x:c r="J31" s="64"/>
      <x:c r="K31" s="64"/>
    </x:row>
    <x:row r="32" ht="26.399999618530273" hidden="0" customHeight="1">
      <x:c r="B32" s="64" t="str">
        <x:v>Rajkot Authorized E-Waste Recovery Centre</x:v>
      </x:c>
      <x:c r="C32" s="64" t="str">
        <x:v>GPCB/EW/2026/027</x:v>
      </x:c>
      <x:c r="D32" s="64" t="str">
        <x:v>Rajkot</x:v>
      </x:c>
      <x:c r="E32" s="64" t="n">
        <x:v>3650</x:v>
      </x:c>
      <x:c r="F32" s="64" t="n">
        <x:v>3102</x:v>
      </x:c>
      <x:c r="G32" s="64" t="n">
        <x:v>0.77</x:v>
      </x:c>
      <x:c r="H32" s="65" t="n">
        <x:v>46843</x:v>
      </x:c>
      <x:c r="I32" s="64"/>
      <x:c r="J32" s="64"/>
      <x:c r="K32" s="64"/>
    </x:row>
    <x:row r="33" ht="26.399999618530273" hidden="0" customHeight="1">
      <x:c r="B33" s="64" t="str">
        <x:v>Sabarkantha Authorized E-Waste Recovery Centre</x:v>
      </x:c>
      <x:c r="C33" s="64" t="str">
        <x:v>GPCB/EW/2026/028</x:v>
      </x:c>
      <x:c r="D33" s="64" t="str">
        <x:v>Sabarkantha</x:v>
      </x:c>
      <x:c r="E33" s="64" t="n">
        <x:v>1680</x:v>
      </x:c>
      <x:c r="F33" s="64" t="n">
        <x:v>974</x:v>
      </x:c>
      <x:c r="G33" s="64" t="n">
        <x:v>0.8</x:v>
      </x:c>
      <x:c r="H33" s="65" t="n">
        <x:v>47391</x:v>
      </x:c>
      <x:c r="I33" s="64"/>
      <x:c r="J33" s="64"/>
      <x:c r="K33" s="64"/>
    </x:row>
    <x:row r="34" ht="26.399999618530273" hidden="0" customHeight="1">
      <x:c r="B34" s="64" t="str">
        <x:v>Surat Authorized E-Waste Recovery Centre</x:v>
      </x:c>
      <x:c r="C34" s="64" t="str">
        <x:v>GPCB/EW/2026/029</x:v>
      </x:c>
      <x:c r="D34" s="64" t="str">
        <x:v>Surat</x:v>
      </x:c>
      <x:c r="E34" s="64" t="n">
        <x:v>8170</x:v>
      </x:c>
      <x:c r="F34" s="64" t="n">
        <x:v>5106</x:v>
      </x:c>
      <x:c r="G34" s="64" t="n">
        <x:v>0.82</x:v>
      </x:c>
      <x:c r="H34" s="65" t="n">
        <x:v>47573</x:v>
      </x:c>
      <x:c r="I34" s="64"/>
      <x:c r="J34" s="64"/>
      <x:c r="K34" s="64"/>
    </x:row>
    <x:row r="35" ht="26.399999618530273" hidden="0" customHeight="1">
      <x:c r="B35" s="64" t="str">
        <x:v>Surendranagar Authorized E-Waste Recovery Centre</x:v>
      </x:c>
      <x:c r="C35" s="64" t="str">
        <x:v>GPCB/EW/2026/030</x:v>
      </x:c>
      <x:c r="D35" s="64" t="str">
        <x:v>Surendranagar</x:v>
      </x:c>
      <x:c r="E35" s="64" t="n">
        <x:v>1290</x:v>
      </x:c>
      <x:c r="F35" s="64" t="n">
        <x:v>864</x:v>
      </x:c>
      <x:c r="G35" s="64" t="n">
        <x:v>0.85</x:v>
      </x:c>
      <x:c r="H35" s="65" t="n">
        <x:v>47026</x:v>
      </x:c>
      <x:c r="I35" s="64"/>
      <x:c r="J35" s="64"/>
      <x:c r="K35" s="64"/>
    </x:row>
    <x:row r="36" ht="26.399999618530273" hidden="0" customHeight="1">
      <x:c r="B36" s="64" t="str">
        <x:v>Tapi Authorized E-Waste Recovery Centre</x:v>
      </x:c>
      <x:c r="C36" s="64" t="str">
        <x:v>GPCB/EW/2026/031</x:v>
      </x:c>
      <x:c r="D36" s="64" t="str">
        <x:v>Tapi</x:v>
      </x:c>
      <x:c r="E36" s="64" t="n">
        <x:v>410</x:v>
      </x:c>
      <x:c r="F36" s="64" t="n">
        <x:v>293</x:v>
      </x:c>
      <x:c r="G36" s="64" t="n">
        <x:v>0.88</x:v>
      </x:c>
      <x:c r="H36" s="65" t="n">
        <x:v>47208</x:v>
      </x:c>
      <x:c r="I36" s="64"/>
      <x:c r="J36" s="64"/>
      <x:c r="K36" s="64"/>
    </x:row>
    <x:row r="37" ht="26.399999618530273" hidden="0" customHeight="1">
      <x:c r="B37" s="64" t="str">
        <x:v>Vadodara Authorized E-Waste Recovery Centre</x:v>
      </x:c>
      <x:c r="C37" s="64" t="str">
        <x:v>GPCB/EW/2026/032</x:v>
      </x:c>
      <x:c r="D37" s="64" t="str">
        <x:v>Vadodara</x:v>
      </x:c>
      <x:c r="E37" s="64" t="n">
        <x:v>4280</x:v>
      </x:c>
      <x:c r="F37" s="64" t="n">
        <x:v>3253</x:v>
      </x:c>
      <x:c r="G37" s="64" t="n">
        <x:v>0.7</x:v>
      </x:c>
      <x:c r="H37" s="65" t="n">
        <x:v>47756</x:v>
      </x:c>
      <x:c r="I37" s="64"/>
      <x:c r="J37" s="64"/>
      <x:c r="K37" s="64"/>
    </x:row>
    <x:row r="38" ht="26.399999618530273" hidden="0" customHeight="1">
      <x:c r="B38" s="64" t="str">
        <x:v>Valsad Authorized E-Waste Recovery Centre</x:v>
      </x:c>
      <x:c r="C38" s="64" t="str">
        <x:v>GPCB/EW/2026/033</x:v>
      </x:c>
      <x:c r="D38" s="64" t="str">
        <x:v>Valsad</x:v>
      </x:c>
      <x:c r="E38" s="64" t="n">
        <x:v>1660</x:v>
      </x:c>
      <x:c r="F38" s="64" t="n">
        <x:v>1336</x:v>
      </x:c>
      <x:c r="G38" s="64" t="n">
        <x:v>0.72</x:v>
      </x:c>
      <x:c r="H38" s="65" t="n">
        <x:v>46843</x:v>
      </x:c>
      <x:c r="I38" s="64"/>
      <x:c r="J38" s="64"/>
      <x:c r="K38" s="64"/>
    </x:row>
    <x:row r="39" ht="26.399999618530273" hidden="0" customHeight="1">
      <x:c r="B39" s="64" t="str">
        <x:v>Vav-Tharad Authorized E-Waste Recovery Centre</x:v>
      </x:c>
      <x:c r="C39" s="64" t="str">
        <x:v>GPCB/EW/2026/034</x:v>
      </x:c>
      <x:c r="D39" s="64" t="str">
        <x:v>Vav-Tharad</x:v>
      </x:c>
      <x:c r="E39" s="64" t="n">
        <x:v>530</x:v>
      </x:c>
      <x:c r="F39" s="64" t="n">
        <x:v>450</x:v>
      </x:c>
      <x:c r="G39" s="64" t="n">
        <x:v>0.75</x:v>
      </x:c>
      <x:c r="H39" s="65" t="n">
        <x:v>47391</x:v>
      </x:c>
      <x:c r="I39" s="64"/>
      <x:c r="J39" s="64"/>
      <x:c r="K39" s="64"/>
    </x:row>
    <x:row r="40" ht="15" hidden="0" customHeight="1">
      <x:c r="B40" s="64" t="str">
        <x:v>STATE TOTAL</x:v>
      </x:c>
      <x:c r="C40" s="64"/>
      <x:c r="D40" s="64" t="n">
        <x:f>COUNTA(B6:B39)</x:f>
        <x:v>34</x:v>
      </x:c>
      <x:c r="E40" s="64" t="n">
        <x:f>SUM(E6:E39)</x:f>
        <x:v>61580</x:v>
      </x:c>
      <x:c r="F40" s="64" t="n">
        <x:f>SUM(F6:F39)</x:f>
        <x:v>43037</x:v>
      </x:c>
      <x:c r="G40" s="64" t="n">
        <x:f>IFERROR(SUMPRODUCT(F6:F39,G6:G39)/SUM(F6:F39),0)</x:f>
        <x:v>0.7741636266468389</x:v>
      </x:c>
      <x:c r="H40" s="64"/>
      <x:c r="I40" s="64"/>
      <x:c r="J40" s="64"/>
      <x:c r="K40" s="64"/>
    </x:row>
    <x:row r="41" ht="15" hidden="0" customHeight="1"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</x:row>
    <x:row r="42" ht="15" hidden="0" customHeight="1"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</x:row>
    <x:row r="43" ht="15" hidden="0" customHeight="1"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</x:row>
    <x:row r="44" ht="15" hidden="0" customHeight="1"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</x:row>
    <x:row r="45" ht="15" hidden="0" customHeight="1"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</x:row>
    <x:row r="46" ht="15" hidden="0" customHeight="1"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</x:row>
  </x:sheetData>
  <x:mergeCells>
    <x:mergeCell ref="A2:G2"/>
    <x:mergeCell ref="B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38" hidden="0" customWidth="1"/>
    <x:col min="3" max="3" width="20" hidden="0" customWidth="1"/>
    <x:col min="4" max="4" width="18" hidden="0" customWidth="1"/>
    <x:col min="5" max="5" width="16" hidden="0" customWidth="1"/>
    <x:col min="6" max="6" width="18" hidden="0" customWidth="1"/>
    <x:col min="7" max="7" width="20" hidden="0" customWidth="1"/>
    <x:col min="8" max="8" width="18" hidden="0" customWidth="1"/>
    <x:col min="9" max="9" width="34" hidden="0" customWidth="1"/>
  </x:cols>
  <x:sheetData>
    <x:row r="2" ht="25.5" hidden="0" customHeight="1">
      <x:c r="A2" s="1" t="s">
        <x:v>68</x:v>
      </x:c>
      <x:c r="B2" s="1"/>
      <x:c r="C2" s="1"/>
      <x:c r="D2" s="1"/>
      <x:c r="E2" s="1"/>
      <x:c r="F2" s="1"/>
      <x:c r="G2" s="1"/>
      <x:c r="H2" s="1"/>
    </x:row>
    <x:row r="3" ht="15" hidden="0">
      <x:c r="B3" s="2" t="s">
        <x:v>69</x:v>
      </x:c>
      <x:c r="C3" s="2"/>
      <x:c r="D3" s="2"/>
      <x:c r="E3" s="2"/>
      <x:c r="F3" s="2"/>
      <x:c r="G3" s="2"/>
      <x:c r="H3" s="2"/>
      <x:c r="I3" s="2"/>
    </x:row>
    <x:row r="5" ht="24" hidden="0" customHeight="1">
      <x:c r="B5" s="60" t="s">
        <x:v>70</x:v>
      </x:c>
      <x:c r="C5" s="60" t="s">
        <x:v>71</x:v>
      </x:c>
      <x:c r="D5" s="60" t="s">
        <x:v>72</x:v>
      </x:c>
      <x:c r="E5" s="60" t="s">
        <x:v>73</x:v>
      </x:c>
      <x:c r="F5" s="60" t="s">
        <x:v>74</x:v>
      </x:c>
      <x:c r="G5" s="60" t="s">
        <x:v>75</x:v>
      </x:c>
      <x:c r="H5" s="60" t="s">
        <x:v>76</x:v>
      </x:c>
      <x:c r="I5" s="60" t="s">
        <x:v>59</x:v>
      </x:c>
      <x:c r="J5" s="64"/>
      <x:c r="K5" s="64"/>
    </x:row>
    <x:row r="6" ht="24" hidden="0" customHeight="1">
      <x:c r="B6" s="61" t="str">
        <x:v>Ahmedabad Producer Responsibility Consortium</x:v>
      </x:c>
      <x:c r="C6" s="61" t="str">
        <x:v>EPR/GJ/2026/0001</x:v>
      </x:c>
      <x:c r="D6" s="61" t="str">
        <x:v>Compliant</x:v>
      </x:c>
      <x:c r="E6" s="61" t="str">
        <x:v>Yes</x:v>
      </x:c>
      <x:c r="F6" s="61" t="str">
        <x:v>Yes</x:v>
      </x:c>
      <x:c r="G6" s="61" t="str">
        <x:v>No</x:v>
      </x:c>
      <x:c r="H6" s="61" t="str">
        <x:v>N/A</x:v>
      </x:c>
      <x:c r="I6" s="61" t="str">
        <x:v>District-level annual EPR compliance review</x:v>
      </x:c>
      <x:c r="J6" s="64"/>
      <x:c r="K6" s="64"/>
    </x:row>
    <x:row r="7" ht="24" hidden="0" customHeight="1">
      <x:c r="B7" s="62" t="str">
        <x:v>Amreli Producer Responsibility Consortium</x:v>
      </x:c>
      <x:c r="C7" s="62" t="str">
        <x:v>EPR/GJ/2026/0002</x:v>
      </x:c>
      <x:c r="D7" s="62" t="str">
        <x:v>Compliant</x:v>
      </x:c>
      <x:c r="E7" s="62" t="str">
        <x:v>Yes</x:v>
      </x:c>
      <x:c r="F7" s="62" t="str">
        <x:v>Yes</x:v>
      </x:c>
      <x:c r="G7" s="62" t="str">
        <x:v>No</x:v>
      </x:c>
      <x:c r="H7" s="62" t="str">
        <x:v>N/A</x:v>
      </x:c>
      <x:c r="I7" s="62" t="str">
        <x:v>District-level annual EPR compliance review</x:v>
      </x:c>
      <x:c r="J7" s="64"/>
      <x:c r="K7" s="64"/>
    </x:row>
    <x:row r="8" ht="24" hidden="0" customHeight="1">
      <x:c r="B8" s="62" t="str">
        <x:v>Anand Producer Responsibility Consortium</x:v>
      </x:c>
      <x:c r="C8" s="62" t="str">
        <x:v>EPR/GJ/2026/0003</x:v>
      </x:c>
      <x:c r="D8" s="62" t="str">
        <x:v>Compliant</x:v>
      </x:c>
      <x:c r="E8" s="62" t="str">
        <x:v>Yes</x:v>
      </x:c>
      <x:c r="F8" s="62" t="str">
        <x:v>Yes</x:v>
      </x:c>
      <x:c r="G8" s="62" t="str">
        <x:v>No</x:v>
      </x:c>
      <x:c r="H8" s="62" t="str">
        <x:v>N/A</x:v>
      </x:c>
      <x:c r="I8" s="62" t="str">
        <x:v>District-level annual EPR compliance review</x:v>
      </x:c>
      <x:c r="J8" s="64"/>
      <x:c r="K8" s="64"/>
    </x:row>
    <x:row r="9" ht="24" hidden="0" customHeight="1">
      <x:c r="B9" s="62" t="str">
        <x:v>Aravalli Producer Responsibility Consortium</x:v>
      </x:c>
      <x:c r="C9" s="62" t="str">
        <x:v>EPR/GJ/2026/0004</x:v>
      </x:c>
      <x:c r="D9" s="62" t="str">
        <x:v>Compliant</x:v>
      </x:c>
      <x:c r="E9" s="62" t="str">
        <x:v>Yes</x:v>
      </x:c>
      <x:c r="F9" s="62" t="str">
        <x:v>Yes</x:v>
      </x:c>
      <x:c r="G9" s="62" t="str">
        <x:v>No</x:v>
      </x:c>
      <x:c r="H9" s="62" t="str">
        <x:v>N/A</x:v>
      </x:c>
      <x:c r="I9" s="62" t="str">
        <x:v>District-level annual EPR compliance review</x:v>
      </x:c>
      <x:c r="J9" s="64"/>
      <x:c r="K9" s="64"/>
    </x:row>
    <x:row r="10" ht="24" hidden="0" customHeight="1">
      <x:c r="B10" s="62" t="str">
        <x:v>Banaskantha Producer Responsibility Consortium</x:v>
      </x:c>
      <x:c r="C10" s="62" t="str">
        <x:v>EPR/GJ/2026/0005</x:v>
      </x:c>
      <x:c r="D10" s="62" t="str">
        <x:v>Compliant</x:v>
      </x:c>
      <x:c r="E10" s="62" t="str">
        <x:v>Yes</x:v>
      </x:c>
      <x:c r="F10" s="62" t="str">
        <x:v>Yes</x:v>
      </x:c>
      <x:c r="G10" s="62" t="str">
        <x:v>No</x:v>
      </x:c>
      <x:c r="H10" s="62" t="str">
        <x:v>N/A</x:v>
      </x:c>
      <x:c r="I10" s="62" t="str">
        <x:v>District-level annual EPR compliance review</x:v>
      </x:c>
      <x:c r="J10" s="64"/>
      <x:c r="K10" s="64"/>
    </x:row>
    <x:row r="11" ht="24" hidden="0" customHeight="1">
      <x:c r="B11" s="62" t="str">
        <x:v>Bharuch Producer Responsibility Consortium</x:v>
      </x:c>
      <x:c r="C11" s="62" t="str">
        <x:v>EPR/GJ/2026/0006</x:v>
      </x:c>
      <x:c r="D11" s="62" t="str">
        <x:v>Partially Compliant</x:v>
      </x:c>
      <x:c r="E11" s="62" t="str">
        <x:v>Yes</x:v>
      </x:c>
      <x:c r="F11" s="62" t="str">
        <x:v>Yes</x:v>
      </x:c>
      <x:c r="G11" s="62" t="str">
        <x:v>No</x:v>
      </x:c>
      <x:c r="H11" s="62" t="str">
        <x:v>N/A</x:v>
      </x:c>
      <x:c r="I11" s="62" t="str">
        <x:v>District-level annual EPR compliance review</x:v>
      </x:c>
      <x:c r="J11" s="64"/>
      <x:c r="K11" s="64"/>
    </x:row>
    <x:row r="12" ht="24" hidden="0" customHeight="1">
      <x:c r="B12" s="62" t="str">
        <x:v>Bhavnagar Producer Responsibility Consortium</x:v>
      </x:c>
      <x:c r="C12" s="62" t="str">
        <x:v>EPR/GJ/2026/0007</x:v>
      </x:c>
      <x:c r="D12" s="62" t="str">
        <x:v>Compliant</x:v>
      </x:c>
      <x:c r="E12" s="62" t="str">
        <x:v>Yes</x:v>
      </x:c>
      <x:c r="F12" s="62" t="str">
        <x:v>No</x:v>
      </x:c>
      <x:c r="G12" s="62" t="str">
        <x:v>No</x:v>
      </x:c>
      <x:c r="H12" s="62" t="str">
        <x:v>N/A</x:v>
      </x:c>
      <x:c r="I12" s="62" t="str">
        <x:v>District-level annual EPR compliance review</x:v>
      </x:c>
      <x:c r="J12" s="64"/>
      <x:c r="K12" s="64"/>
    </x:row>
    <x:row r="13" ht="24" hidden="0" customHeight="1">
      <x:c r="B13" s="62" t="str">
        <x:v>Botad Producer Responsibility Consortium</x:v>
      </x:c>
      <x:c r="C13" s="62" t="str">
        <x:v>EPR/GJ/2026/0008</x:v>
      </x:c>
      <x:c r="D13" s="62" t="str">
        <x:v>Compliant</x:v>
      </x:c>
      <x:c r="E13" s="62" t="str">
        <x:v>Yes</x:v>
      </x:c>
      <x:c r="F13" s="62" t="str">
        <x:v>Yes</x:v>
      </x:c>
      <x:c r="G13" s="62" t="str">
        <x:v>No</x:v>
      </x:c>
      <x:c r="H13" s="62" t="str">
        <x:v>N/A</x:v>
      </x:c>
      <x:c r="I13" s="62" t="str">
        <x:v>District-level annual EPR compliance review</x:v>
      </x:c>
      <x:c r="J13" s="64"/>
      <x:c r="K13" s="64"/>
    </x:row>
    <x:row r="14" ht="24" hidden="0" customHeight="1">
      <x:c r="B14" s="62" t="str">
        <x:v>Chhota Udaipur Producer Responsibility Consortium</x:v>
      </x:c>
      <x:c r="C14" s="62" t="str">
        <x:v>EPR/GJ/2026/0009</x:v>
      </x:c>
      <x:c r="D14" s="62" t="str">
        <x:v>Compliant</x:v>
      </x:c>
      <x:c r="E14" s="62" t="str">
        <x:v>Yes</x:v>
      </x:c>
      <x:c r="F14" s="62" t="str">
        <x:v>Yes</x:v>
      </x:c>
      <x:c r="G14" s="62" t="str">
        <x:v>Yes</x:v>
      </x:c>
      <x:c r="H14" s="62" t="str">
        <x:v>Yes</x:v>
      </x:c>
      <x:c r="I14" s="62" t="str">
        <x:v>District-level annual EPR compliance review</x:v>
      </x:c>
      <x:c r="J14" s="64"/>
      <x:c r="K14" s="64"/>
    </x:row>
    <x:row r="15" ht="24" hidden="0" customHeight="1">
      <x:c r="B15" s="62" t="str">
        <x:v>Dahod Producer Responsibility Consortium</x:v>
      </x:c>
      <x:c r="C15" s="62" t="str">
        <x:v>EPR/GJ/2026/0010</x:v>
      </x:c>
      <x:c r="D15" s="62" t="str">
        <x:v>Compliant</x:v>
      </x:c>
      <x:c r="E15" s="62" t="str">
        <x:v>Yes</x:v>
      </x:c>
      <x:c r="F15" s="62" t="str">
        <x:v>Yes</x:v>
      </x:c>
      <x:c r="G15" s="62" t="str">
        <x:v>No</x:v>
      </x:c>
      <x:c r="H15" s="62" t="str">
        <x:v>N/A</x:v>
      </x:c>
      <x:c r="I15" s="62" t="str">
        <x:v>District-level annual EPR compliance review</x:v>
      </x:c>
      <x:c r="J15" s="64"/>
      <x:c r="K15" s="64"/>
    </x:row>
    <x:row r="16" ht="24" hidden="0" customHeight="1">
      <x:c r="B16" s="62" t="str">
        <x:v>Dang Producer Responsibility Consortium</x:v>
      </x:c>
      <x:c r="C16" s="62" t="str">
        <x:v>EPR/GJ/2026/0011</x:v>
      </x:c>
      <x:c r="D16" s="62" t="str">
        <x:v>Compliant</x:v>
      </x:c>
      <x:c r="E16" s="62" t="str">
        <x:v>Yes</x:v>
      </x:c>
      <x:c r="F16" s="62" t="str">
        <x:v>Yes</x:v>
      </x:c>
      <x:c r="G16" s="62" t="str">
        <x:v>No</x:v>
      </x:c>
      <x:c r="H16" s="62" t="str">
        <x:v>N/A</x:v>
      </x:c>
      <x:c r="I16" s="62" t="str">
        <x:v>District-level annual EPR compliance review</x:v>
      </x:c>
      <x:c r="J16" s="64"/>
      <x:c r="K16" s="64"/>
    </x:row>
    <x:row r="17" ht="24" hidden="0" customHeight="1">
      <x:c r="B17" s="62" t="str">
        <x:v>Devbhoomi Dwarka Producer Responsibility Consortium</x:v>
      </x:c>
      <x:c r="C17" s="62" t="str">
        <x:v>EPR/GJ/2026/0012</x:v>
      </x:c>
      <x:c r="D17" s="62" t="str">
        <x:v>Partially Compliant</x:v>
      </x:c>
      <x:c r="E17" s="62" t="str">
        <x:v>Yes</x:v>
      </x:c>
      <x:c r="F17" s="62" t="str">
        <x:v>Yes</x:v>
      </x:c>
      <x:c r="G17" s="62" t="str">
        <x:v>No</x:v>
      </x:c>
      <x:c r="H17" s="62" t="str">
        <x:v>N/A</x:v>
      </x:c>
      <x:c r="I17" s="62" t="str">
        <x:v>District-level annual EPR compliance review</x:v>
      </x:c>
      <x:c r="J17" s="64"/>
      <x:c r="K17" s="64"/>
    </x:row>
    <x:row r="18" ht="24" hidden="0" customHeight="1">
      <x:c r="B18" s="62" t="str">
        <x:v>Gandhinagar Producer Responsibility Consortium</x:v>
      </x:c>
      <x:c r="C18" s="62" t="str">
        <x:v>EPR/GJ/2026/0013</x:v>
      </x:c>
      <x:c r="D18" s="62" t="str">
        <x:v>Compliant</x:v>
      </x:c>
      <x:c r="E18" s="62" t="str">
        <x:v>Yes</x:v>
      </x:c>
      <x:c r="F18" s="62" t="str">
        <x:v>Yes</x:v>
      </x:c>
      <x:c r="G18" s="62" t="str">
        <x:v>No</x:v>
      </x:c>
      <x:c r="H18" s="62" t="str">
        <x:v>N/A</x:v>
      </x:c>
      <x:c r="I18" s="62" t="str">
        <x:v>District-level annual EPR compliance review</x:v>
      </x:c>
      <x:c r="J18" s="64"/>
      <x:c r="K18" s="64"/>
    </x:row>
    <x:row r="19" ht="24" hidden="0" customHeight="1">
      <x:c r="B19" s="62" t="str">
        <x:v>Gir Somnath Producer Responsibility Consortium</x:v>
      </x:c>
      <x:c r="C19" s="62" t="str">
        <x:v>EPR/GJ/2026/0014</x:v>
      </x:c>
      <x:c r="D19" s="62" t="str">
        <x:v>Compliant</x:v>
      </x:c>
      <x:c r="E19" s="62" t="str">
        <x:v>Yes</x:v>
      </x:c>
      <x:c r="F19" s="62" t="str">
        <x:v>No</x:v>
      </x:c>
      <x:c r="G19" s="62" t="str">
        <x:v>No</x:v>
      </x:c>
      <x:c r="H19" s="62" t="str">
        <x:v>N/A</x:v>
      </x:c>
      <x:c r="I19" s="62" t="str">
        <x:v>District-level annual EPR compliance review</x:v>
      </x:c>
      <x:c r="J19" s="64"/>
      <x:c r="K19" s="64"/>
    </x:row>
    <x:row r="20" ht="24" hidden="0" customHeight="1">
      <x:c r="B20" s="62" t="str">
        <x:v>Jamnagar Producer Responsibility Consortium</x:v>
      </x:c>
      <x:c r="C20" s="62" t="str">
        <x:v>EPR/GJ/2026/0015</x:v>
      </x:c>
      <x:c r="D20" s="62" t="str">
        <x:v>Compliant</x:v>
      </x:c>
      <x:c r="E20" s="62" t="str">
        <x:v>Yes</x:v>
      </x:c>
      <x:c r="F20" s="62" t="str">
        <x:v>Yes</x:v>
      </x:c>
      <x:c r="G20" s="62" t="str">
        <x:v>No</x:v>
      </x:c>
      <x:c r="H20" s="62" t="str">
        <x:v>N/A</x:v>
      </x:c>
      <x:c r="I20" s="62" t="str">
        <x:v>District-level annual EPR compliance review</x:v>
      </x:c>
      <x:c r="J20" s="64"/>
      <x:c r="K20" s="64"/>
    </x:row>
    <x:row r="21" ht="24" hidden="0" customHeight="1">
      <x:c r="B21" s="62" t="str">
        <x:v>Junagadh Producer Responsibility Consortium</x:v>
      </x:c>
      <x:c r="C21" s="62" t="str">
        <x:v>EPR/GJ/2026/0016</x:v>
      </x:c>
      <x:c r="D21" s="62" t="str">
        <x:v>Compliant</x:v>
      </x:c>
      <x:c r="E21" s="62" t="str">
        <x:v>Yes</x:v>
      </x:c>
      <x:c r="F21" s="62" t="str">
        <x:v>Yes</x:v>
      </x:c>
      <x:c r="G21" s="62" t="str">
        <x:v>No</x:v>
      </x:c>
      <x:c r="H21" s="62" t="str">
        <x:v>N/A</x:v>
      </x:c>
      <x:c r="I21" s="62" t="str">
        <x:v>District-level annual EPR compliance review</x:v>
      </x:c>
      <x:c r="J21" s="64"/>
      <x:c r="K21" s="64"/>
    </x:row>
    <x:row r="22" ht="24" hidden="0" customHeight="1">
      <x:c r="B22" s="62" t="str">
        <x:v>Kheda Producer Responsibility Consortium</x:v>
      </x:c>
      <x:c r="C22" s="62" t="str">
        <x:v>EPR/GJ/2026/0017</x:v>
      </x:c>
      <x:c r="D22" s="62" t="str">
        <x:v>Compliant</x:v>
      </x:c>
      <x:c r="E22" s="62" t="str">
        <x:v>Yes</x:v>
      </x:c>
      <x:c r="F22" s="62" t="str">
        <x:v>Yes</x:v>
      </x:c>
      <x:c r="G22" s="62" t="str">
        <x:v>No</x:v>
      </x:c>
      <x:c r="H22" s="62" t="str">
        <x:v>N/A</x:v>
      </x:c>
      <x:c r="I22" s="62" t="str">
        <x:v>District-level annual EPR compliance review</x:v>
      </x:c>
      <x:c r="J22" s="64"/>
      <x:c r="K22" s="64"/>
    </x:row>
    <x:row r="23" ht="24" hidden="0" customHeight="1">
      <x:c r="B23" s="62" t="str">
        <x:v>Kutch Producer Responsibility Consortium</x:v>
      </x:c>
      <x:c r="C23" s="62" t="str">
        <x:v>EPR/GJ/2026/0018</x:v>
      </x:c>
      <x:c r="D23" s="62" t="str">
        <x:v>Partially Compliant</x:v>
      </x:c>
      <x:c r="E23" s="62" t="str">
        <x:v>Yes</x:v>
      </x:c>
      <x:c r="F23" s="62" t="str">
        <x:v>Yes</x:v>
      </x:c>
      <x:c r="G23" s="62" t="str">
        <x:v>Yes</x:v>
      </x:c>
      <x:c r="H23" s="62" t="str">
        <x:v>No</x:v>
      </x:c>
      <x:c r="I23" s="62" t="str">
        <x:v>District-level annual EPR compliance review</x:v>
      </x:c>
      <x:c r="J23" s="64"/>
      <x:c r="K23" s="64"/>
    </x:row>
    <x:row r="24" ht="24" hidden="0" customHeight="1">
      <x:c r="B24" s="62" t="str">
        <x:v>Mahisagar Producer Responsibility Consortium</x:v>
      </x:c>
      <x:c r="C24" s="62" t="str">
        <x:v>EPR/GJ/2026/0019</x:v>
      </x:c>
      <x:c r="D24" s="62" t="str">
        <x:v>Compliant</x:v>
      </x:c>
      <x:c r="E24" s="62" t="str">
        <x:v>Yes</x:v>
      </x:c>
      <x:c r="F24" s="62" t="str">
        <x:v>Yes</x:v>
      </x:c>
      <x:c r="G24" s="62" t="str">
        <x:v>No</x:v>
      </x:c>
      <x:c r="H24" s="62" t="str">
        <x:v>N/A</x:v>
      </x:c>
      <x:c r="I24" s="62" t="str">
        <x:v>District-level annual EPR compliance review</x:v>
      </x:c>
      <x:c r="J24" s="64"/>
      <x:c r="K24" s="64"/>
    </x:row>
    <x:row r="25" ht="24" hidden="0" customHeight="1">
      <x:c r="B25" s="62" t="str">
        <x:v>Mehsana Producer Responsibility Consortium</x:v>
      </x:c>
      <x:c r="C25" s="62" t="str">
        <x:v>EPR/GJ/2026/0020</x:v>
      </x:c>
      <x:c r="D25" s="62" t="str">
        <x:v>Compliant</x:v>
      </x:c>
      <x:c r="E25" s="62" t="str">
        <x:v>Yes</x:v>
      </x:c>
      <x:c r="F25" s="62" t="str">
        <x:v>Yes</x:v>
      </x:c>
      <x:c r="G25" s="62" t="str">
        <x:v>No</x:v>
      </x:c>
      <x:c r="H25" s="62" t="str">
        <x:v>N/A</x:v>
      </x:c>
      <x:c r="I25" s="62" t="str">
        <x:v>District-level annual EPR compliance review</x:v>
      </x:c>
      <x:c r="J25" s="64"/>
      <x:c r="K25" s="64"/>
    </x:row>
    <x:row r="26" ht="24" hidden="0" customHeight="1">
      <x:c r="B26" s="62" t="str">
        <x:v>Morbi Producer Responsibility Consortium</x:v>
      </x:c>
      <x:c r="C26" s="62" t="str">
        <x:v>EPR/GJ/2026/0021</x:v>
      </x:c>
      <x:c r="D26" s="62" t="str">
        <x:v>Compliant</x:v>
      </x:c>
      <x:c r="E26" s="62" t="str">
        <x:v>Yes</x:v>
      </x:c>
      <x:c r="F26" s="62" t="str">
        <x:v>No</x:v>
      </x:c>
      <x:c r="G26" s="62" t="str">
        <x:v>No</x:v>
      </x:c>
      <x:c r="H26" s="62" t="str">
        <x:v>N/A</x:v>
      </x:c>
      <x:c r="I26" s="62" t="str">
        <x:v>District-level annual EPR compliance review</x:v>
      </x:c>
      <x:c r="J26" s="64"/>
      <x:c r="K26" s="64"/>
    </x:row>
    <x:row r="27" ht="26.399999618530273" hidden="0" customHeight="1">
      <x:c r="B27" s="64" t="str">
        <x:v>Narmada Producer Responsibility Consortium</x:v>
      </x:c>
      <x:c r="C27" s="64" t="str">
        <x:v>EPR/GJ/2026/0022</x:v>
      </x:c>
      <x:c r="D27" s="64" t="str">
        <x:v>Compliant</x:v>
      </x:c>
      <x:c r="E27" s="64" t="str">
        <x:v>Yes</x:v>
      </x:c>
      <x:c r="F27" s="64" t="str">
        <x:v>Yes</x:v>
      </x:c>
      <x:c r="G27" s="64" t="str">
        <x:v>No</x:v>
      </x:c>
      <x:c r="H27" s="64" t="str">
        <x:v>N/A</x:v>
      </x:c>
      <x:c r="I27" s="64" t="str">
        <x:v>District-level annual EPR compliance review</x:v>
      </x:c>
      <x:c r="J27" s="64"/>
      <x:c r="K27" s="64"/>
    </x:row>
    <x:row r="28" ht="26.399999618530273" hidden="0" customHeight="1">
      <x:c r="B28" s="66" t="str">
        <x:v>Navsari Producer Responsibility Consortium</x:v>
      </x:c>
      <x:c r="C28" s="66" t="str">
        <x:f aca="0"/>
        <x:v>EPR/GJ/2026/0023</x:v>
      </x:c>
      <x:c r="D28" s="64" t="str">
        <x:v>Compliant</x:v>
      </x:c>
      <x:c r="E28" s="64" t="str">
        <x:v>Yes</x:v>
      </x:c>
      <x:c r="F28" s="64" t="str">
        <x:v>Yes</x:v>
      </x:c>
      <x:c r="G28" s="64" t="str">
        <x:v>No</x:v>
      </x:c>
      <x:c r="H28" s="64" t="str">
        <x:v>N/A</x:v>
      </x:c>
      <x:c r="I28" s="64" t="str">
        <x:v>District-level annual EPR compliance review</x:v>
      </x:c>
      <x:c r="J28" s="64"/>
      <x:c r="K28" s="64"/>
    </x:row>
    <x:row r="29" ht="26.399999618530273" hidden="0" customHeight="1">
      <x:c r="B29" s="66" t="str">
        <x:v>Panchmahal Producer Responsibility Consortium</x:v>
      </x:c>
      <x:c r="C29" s="66" t="str">
        <x:f aca="0"/>
        <x:v>EPR/GJ/2026/0024</x:v>
      </x:c>
      <x:c r="D29" s="64" t="str">
        <x:v>Partially Compliant</x:v>
      </x:c>
      <x:c r="E29" s="64" t="str">
        <x:v>Yes</x:v>
      </x:c>
      <x:c r="F29" s="64" t="str">
        <x:v>Yes</x:v>
      </x:c>
      <x:c r="G29" s="64" t="str">
        <x:v>No</x:v>
      </x:c>
      <x:c r="H29" s="64" t="str">
        <x:v>N/A</x:v>
      </x:c>
      <x:c r="I29" s="64" t="str">
        <x:v>District-level annual EPR compliance review</x:v>
      </x:c>
      <x:c r="J29" s="64"/>
      <x:c r="K29" s="64"/>
    </x:row>
    <x:row r="30" ht="26.399999618530273" hidden="0" customHeight="1">
      <x:c r="B30" s="66" t="str">
        <x:v>Patan Producer Responsibility Consortium</x:v>
      </x:c>
      <x:c r="C30" s="66" t="str">
        <x:f aca="0"/>
        <x:v>EPR/GJ/2026/0025</x:v>
      </x:c>
      <x:c r="D30" s="64" t="str">
        <x:v>Compliant</x:v>
      </x:c>
      <x:c r="E30" s="64" t="str">
        <x:v>Yes</x:v>
      </x:c>
      <x:c r="F30" s="64" t="str">
        <x:v>Yes</x:v>
      </x:c>
      <x:c r="G30" s="64" t="str">
        <x:v>No</x:v>
      </x:c>
      <x:c r="H30" s="64" t="str">
        <x:v>N/A</x:v>
      </x:c>
      <x:c r="I30" s="64" t="str">
        <x:v>District-level annual EPR compliance review</x:v>
      </x:c>
      <x:c r="J30" s="64"/>
      <x:c r="K30" s="64"/>
    </x:row>
    <x:row r="31" ht="26.399999618530273" hidden="0" customHeight="1">
      <x:c r="B31" s="66" t="str">
        <x:v>Porbandar Producer Responsibility Consortium</x:v>
      </x:c>
      <x:c r="C31" s="66" t="str">
        <x:f aca="0"/>
        <x:v>EPR/GJ/2026/0026</x:v>
      </x:c>
      <x:c r="D31" s="64" t="str">
        <x:v>Compliant</x:v>
      </x:c>
      <x:c r="E31" s="64" t="str">
        <x:v>Yes</x:v>
      </x:c>
      <x:c r="F31" s="64" t="str">
        <x:v>Yes</x:v>
      </x:c>
      <x:c r="G31" s="64" t="str">
        <x:v>No</x:v>
      </x:c>
      <x:c r="H31" s="64" t="str">
        <x:v>N/A</x:v>
      </x:c>
      <x:c r="I31" s="64" t="str">
        <x:v>District-level annual EPR compliance review</x:v>
      </x:c>
      <x:c r="J31" s="64"/>
      <x:c r="K31" s="64"/>
    </x:row>
    <x:row r="32" ht="26.399999618530273" hidden="0" customHeight="1">
      <x:c r="B32" s="66" t="str">
        <x:v>Rajkot Producer Responsibility Consortium</x:v>
      </x:c>
      <x:c r="C32" s="66" t="str">
        <x:f aca="0"/>
        <x:v>EPR/GJ/2026/0027</x:v>
      </x:c>
      <x:c r="D32" s="64" t="str">
        <x:v>Compliant</x:v>
      </x:c>
      <x:c r="E32" s="64" t="str">
        <x:v>Yes</x:v>
      </x:c>
      <x:c r="F32" s="64" t="str">
        <x:v>Yes</x:v>
      </x:c>
      <x:c r="G32" s="64" t="str">
        <x:v>Yes</x:v>
      </x:c>
      <x:c r="H32" s="64" t="str">
        <x:v>Yes</x:v>
      </x:c>
      <x:c r="I32" s="64" t="str">
        <x:v>District-level annual EPR compliance review</x:v>
      </x:c>
      <x:c r="J32" s="64"/>
      <x:c r="K32" s="64"/>
    </x:row>
    <x:row r="33" ht="26.399999618530273" hidden="0" customHeight="1">
      <x:c r="B33" s="66" t="str">
        <x:v>Sabarkantha Producer Responsibility Consortium</x:v>
      </x:c>
      <x:c r="C33" s="66" t="str">
        <x:f aca="0"/>
        <x:v>EPR/GJ/2026/0028</x:v>
      </x:c>
      <x:c r="D33" s="64" t="str">
        <x:v>Compliant</x:v>
      </x:c>
      <x:c r="E33" s="64" t="str">
        <x:v>Yes</x:v>
      </x:c>
      <x:c r="F33" s="64" t="str">
        <x:v>No</x:v>
      </x:c>
      <x:c r="G33" s="64" t="str">
        <x:v>No</x:v>
      </x:c>
      <x:c r="H33" s="64" t="str">
        <x:v>N/A</x:v>
      </x:c>
      <x:c r="I33" s="64" t="str">
        <x:v>District-level annual EPR compliance review</x:v>
      </x:c>
      <x:c r="J33" s="64"/>
      <x:c r="K33" s="64"/>
    </x:row>
    <x:row r="34" ht="26.399999618530273" hidden="0" customHeight="1">
      <x:c r="B34" s="64" t="str">
        <x:v>Surat Producer Responsibility Consortium</x:v>
      </x:c>
      <x:c r="C34" s="64" t="str">
        <x:v>EPR/GJ/2026/0029</x:v>
      </x:c>
      <x:c r="D34" s="64" t="str">
        <x:v>Compliant</x:v>
      </x:c>
      <x:c r="E34" s="64" t="str">
        <x:v>Yes</x:v>
      </x:c>
      <x:c r="F34" s="64" t="str">
        <x:v>Yes</x:v>
      </x:c>
      <x:c r="G34" s="64" t="str">
        <x:v>No</x:v>
      </x:c>
      <x:c r="H34" s="64" t="str">
        <x:v>N/A</x:v>
      </x:c>
      <x:c r="I34" s="64" t="str">
        <x:v>District-level annual EPR compliance review</x:v>
      </x:c>
      <x:c r="J34" s="64"/>
      <x:c r="K34" s="64"/>
    </x:row>
    <x:row r="35" ht="26.399999618530273" hidden="0" customHeight="1">
      <x:c r="B35" s="64" t="str">
        <x:v>Surendranagar Producer Responsibility Consortium</x:v>
      </x:c>
      <x:c r="C35" s="64" t="str">
        <x:v>EPR/GJ/2026/0030</x:v>
      </x:c>
      <x:c r="D35" s="64" t="str">
        <x:v>Partially Compliant</x:v>
      </x:c>
      <x:c r="E35" s="64" t="str">
        <x:v>Yes</x:v>
      </x:c>
      <x:c r="F35" s="64" t="str">
        <x:v>Yes</x:v>
      </x:c>
      <x:c r="G35" s="64" t="str">
        <x:v>No</x:v>
      </x:c>
      <x:c r="H35" s="64" t="str">
        <x:v>N/A</x:v>
      </x:c>
      <x:c r="I35" s="64" t="str">
        <x:v>District-level annual EPR compliance review</x:v>
      </x:c>
      <x:c r="J35" s="64"/>
      <x:c r="K35" s="64"/>
    </x:row>
    <x:row r="36" ht="26.399999618530273" hidden="0" customHeight="1">
      <x:c r="B36" s="64" t="str">
        <x:v>Tapi Producer Responsibility Consortium</x:v>
      </x:c>
      <x:c r="C36" s="64" t="str">
        <x:v>EPR/GJ/2026/0031</x:v>
      </x:c>
      <x:c r="D36" s="64" t="str">
        <x:v>Compliant</x:v>
      </x:c>
      <x:c r="E36" s="64" t="str">
        <x:v>Yes</x:v>
      </x:c>
      <x:c r="F36" s="64" t="str">
        <x:v>Yes</x:v>
      </x:c>
      <x:c r="G36" s="64" t="str">
        <x:v>No</x:v>
      </x:c>
      <x:c r="H36" s="64" t="str">
        <x:v>N/A</x:v>
      </x:c>
      <x:c r="I36" s="64" t="str">
        <x:v>District-level annual EPR compliance review</x:v>
      </x:c>
      <x:c r="J36" s="64"/>
      <x:c r="K36" s="64"/>
    </x:row>
    <x:row r="37" ht="26.399999618530273" hidden="0" customHeight="1">
      <x:c r="B37" s="64" t="str">
        <x:v>Vadodara Producer Responsibility Consortium</x:v>
      </x:c>
      <x:c r="C37" s="64" t="str">
        <x:v>EPR/GJ/2026/0032</x:v>
      </x:c>
      <x:c r="D37" s="64" t="str">
        <x:v>Compliant</x:v>
      </x:c>
      <x:c r="E37" s="64" t="str">
        <x:v>Yes</x:v>
      </x:c>
      <x:c r="F37" s="64" t="str">
        <x:v>Yes</x:v>
      </x:c>
      <x:c r="G37" s="64" t="str">
        <x:v>No</x:v>
      </x:c>
      <x:c r="H37" s="64" t="str">
        <x:v>N/A</x:v>
      </x:c>
      <x:c r="I37" s="64" t="str">
        <x:v>District-level annual EPR compliance review</x:v>
      </x:c>
      <x:c r="J37" s="64"/>
      <x:c r="K37" s="64"/>
    </x:row>
    <x:row r="38" ht="26.399999618530273" hidden="0" customHeight="1">
      <x:c r="B38" s="64" t="str">
        <x:v>Valsad Producer Responsibility Consortium</x:v>
      </x:c>
      <x:c r="C38" s="64" t="str">
        <x:v>EPR/GJ/2026/0033</x:v>
      </x:c>
      <x:c r="D38" s="64" t="str">
        <x:v>Compliant</x:v>
      </x:c>
      <x:c r="E38" s="64" t="str">
        <x:v>Yes</x:v>
      </x:c>
      <x:c r="F38" s="64" t="str">
        <x:v>Yes</x:v>
      </x:c>
      <x:c r="G38" s="64" t="str">
        <x:v>No</x:v>
      </x:c>
      <x:c r="H38" s="64" t="str">
        <x:v>N/A</x:v>
      </x:c>
      <x:c r="I38" s="64" t="str">
        <x:v>District-level annual EPR compliance review</x:v>
      </x:c>
      <x:c r="J38" s="64"/>
      <x:c r="K38" s="64"/>
    </x:row>
    <x:row r="39" ht="26.399999618530273" hidden="0" customHeight="1">
      <x:c r="B39" s="64" t="str">
        <x:v>Vav-Tharad Producer Responsibility Consortium</x:v>
      </x:c>
      <x:c r="C39" s="64" t="str">
        <x:v>EPR/GJ/2026/0034</x:v>
      </x:c>
      <x:c r="D39" s="64" t="str">
        <x:v>Compliant</x:v>
      </x:c>
      <x:c r="E39" s="64" t="str">
        <x:v>Yes</x:v>
      </x:c>
      <x:c r="F39" s="64" t="str">
        <x:v>Yes</x:v>
      </x:c>
      <x:c r="G39" s="64" t="str">
        <x:v>No</x:v>
      </x:c>
      <x:c r="H39" s="64" t="str">
        <x:v>N/A</x:v>
      </x:c>
      <x:c r="I39" s="64" t="str">
        <x:v>District-level annual EPR compliance review</x:v>
      </x:c>
      <x:c r="J39" s="64"/>
      <x:c r="K39" s="64"/>
    </x:row>
    <x:row r="40" ht="15" hidden="0" customHeight="1"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</x:row>
    <x:row r="41" ht="15" hidden="0" customHeight="1">
      <x:c r="B41" s="64" t="str">
        <x:v>Compliant</x:v>
      </x:c>
      <x:c r="C41" s="64" t="n">
        <x:f>COUNTIF(D6:D39,"Compliant")</x:f>
        <x:v>29</x:v>
      </x:c>
      <x:c r="D41" s="64"/>
      <x:c r="E41" s="64"/>
      <x:c r="F41" s="64"/>
      <x:c r="G41" s="64"/>
      <x:c r="H41" s="64"/>
      <x:c r="I41" s="64"/>
      <x:c r="J41" s="64"/>
      <x:c r="K41" s="64"/>
    </x:row>
    <x:row r="42" ht="15" hidden="0" customHeight="1">
      <x:c r="B42" s="64" t="str">
        <x:v>Total Registered</x:v>
      </x:c>
      <x:c r="C42" s="64" t="n">
        <x:f>COUNTA(B6:B39)</x:f>
        <x:v>34</x:v>
      </x:c>
      <x:c r="D42" s="64"/>
      <x:c r="E42" s="64"/>
      <x:c r="F42" s="64"/>
      <x:c r="G42" s="64"/>
      <x:c r="H42" s="64"/>
      <x:c r="I42" s="64"/>
      <x:c r="J42" s="64"/>
      <x:c r="K42" s="64"/>
    </x:row>
    <x:row r="43" ht="15" hidden="0" customHeight="1">
      <x:c r="B43" s="64" t="str">
        <x:v>Inspections Planned</x:v>
      </x:c>
      <x:c r="C43" s="64" t="n">
        <x:f>COUNTIF(E6:E39,"Yes")</x:f>
        <x:v>34</x:v>
      </x:c>
      <x:c r="D43" s="64"/>
      <x:c r="E43" s="64"/>
      <x:c r="F43" s="64"/>
      <x:c r="G43" s="64"/>
      <x:c r="H43" s="64"/>
      <x:c r="I43" s="64"/>
      <x:c r="J43" s="64"/>
      <x:c r="K43" s="64"/>
    </x:row>
    <x:row r="44" ht="15" hidden="0" customHeight="1">
      <x:c r="B44" s="64" t="str">
        <x:v>Inspections Conducted</x:v>
      </x:c>
      <x:c r="C44" s="64" t="n">
        <x:f>COUNTIF(F6:F39,"Yes")</x:f>
        <x:v>30</x:v>
      </x:c>
      <x:c r="D44" s="64"/>
      <x:c r="E44" s="64"/>
      <x:c r="F44" s="64"/>
      <x:c r="G44" s="64"/>
      <x:c r="H44" s="64"/>
      <x:c r="I44" s="64"/>
      <x:c r="J44" s="64"/>
      <x:c r="K44" s="64"/>
    </x:row>
    <x:row r="45" ht="15" hidden="0" customHeight="1">
      <x:c r="B45" s="64" t="str">
        <x:v>Penalties Issued</x:v>
      </x:c>
      <x:c r="C45" s="64" t="n">
        <x:f>COUNTIF(G6:G39,"Yes")</x:f>
        <x:v>3</x:v>
      </x:c>
      <x:c r="D45" s="64"/>
      <x:c r="E45" s="64"/>
      <x:c r="F45" s="64"/>
      <x:c r="G45" s="64"/>
      <x:c r="H45" s="64"/>
      <x:c r="I45" s="64"/>
      <x:c r="J45" s="64"/>
      <x:c r="K45" s="64"/>
    </x:row>
    <x:row r="46" ht="15" hidden="0" customHeight="1">
      <x:c r="B46" s="64" t="str">
        <x:v>Penalties Resolved</x:v>
      </x:c>
      <x:c r="C46" s="64" t="n">
        <x:f>COUNTIF(H6:H39,"Yes")</x:f>
        <x:v>2</x:v>
      </x:c>
      <x:c r="D46" s="64"/>
      <x:c r="E46" s="64"/>
      <x:c r="F46" s="64"/>
      <x:c r="G46" s="64"/>
      <x:c r="H46" s="64"/>
      <x:c r="I46" s="64"/>
      <x:c r="J46" s="64"/>
      <x:c r="K46" s="64"/>
    </x:row>
  </x:sheetData>
  <x:mergeCells>
    <x:mergeCell ref="A2:H2"/>
    <x:mergeCell ref="B3:I3"/>
  </x:mergeCells>
  <x:dataValidations count="2">
    <x:dataValidation type="list" errorStyle="stop" operator="between" allowBlank="1" showDropDown="0" showInputMessage="0" showErrorMessage="0" sqref="D7:D26">
      <x:formula1>"Compliant,Non-compliant,Under Review"</x:formula1>
      <x:formula2>0</x:formula2>
    </x:dataValidation>
    <x:dataValidation type="list" errorStyle="stop" operator="between" allowBlank="1" showDropDown="0" showInputMessage="0" showErrorMessage="0" sqref="E7:H26">
      <x:formula1>"Yes,No,N/A"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32" hidden="0" customWidth="1"/>
    <x:col min="3" max="3" width="18" hidden="0" customWidth="1"/>
    <x:col min="4" max="5" width="20" hidden="0" customWidth="1"/>
    <x:col min="6" max="6" width="20" hidden="0" customWidth="1"/>
    <x:col min="7" max="7" width="42" hidden="0" customWidth="1"/>
    <x:col min="8" max="8" width="30" hidden="0" customWidth="1"/>
    <x:col min="4" max="4" width="20" hidden="0" customWidth="1"/>
    <x:col min="5" max="5" width="18" hidden="0" customWidth="1"/>
  </x:cols>
  <x:sheetData>
    <x:row r="2" ht="25.5" hidden="0" customHeight="1">
      <x:c r="A2" s="1" t="s">
        <x:v>77</x:v>
      </x:c>
      <x:c r="B2" s="1"/>
      <x:c r="C2" s="1"/>
      <x:c r="D2" s="1"/>
      <x:c r="E2" s="1"/>
      <x:c r="F2" s="1"/>
      <x:c r="G2" s="1"/>
    </x:row>
    <x:row r="3" ht="15" hidden="0">
      <x:c r="B3" s="2" t="s">
        <x:v>78</x:v>
      </x:c>
      <x:c r="C3" s="2"/>
      <x:c r="D3" s="2"/>
      <x:c r="E3" s="2"/>
      <x:c r="F3" s="2"/>
      <x:c r="G3" s="2"/>
      <x:c r="H3" s="2"/>
    </x:row>
    <x:row r="5" ht="24" hidden="0" customHeight="1">
      <x:c r="B5" s="60" t="s">
        <x:v>79</x:v>
      </x:c>
      <x:c r="C5" s="60" t="s">
        <x:v>42</x:v>
      </x:c>
      <x:c r="D5" s="60" t="s">
        <x:v>80</x:v>
      </x:c>
      <x:c r="E5" s="60" t="s">
        <x:v>81</x:v>
      </x:c>
      <x:c r="F5" s="60" t="s">
        <x:v>82</x:v>
      </x:c>
      <x:c r="G5" s="60" t="s">
        <x:v>83</x:v>
      </x:c>
      <x:c r="H5" s="60" t="s">
        <x:v>59</x:v>
      </x:c>
      <x:c r="I5" s="64"/>
      <x:c r="J5" s="64"/>
      <x:c r="K5" s="64"/>
    </x:row>
    <x:row r="6" ht="24" hidden="0" customHeight="1">
      <x:c r="B6" s="61" t="str">
        <x:v>Ahmedabad Scrap &amp; Repair Cluster</x:v>
      </x:c>
      <x:c r="C6" s="61" t="str">
        <x:v>Ahmedabad</x:v>
      </x:c>
      <x:c r="D6" s="61" t="str">
        <x:v>Under Formalization</x:v>
      </x:c>
      <x:c r="E6" s="61" t="n">
        <x:v>125</x:v>
      </x:c>
      <x:c r="F6" s="61" t="n">
        <x:v>55</x:v>
      </x:c>
      <x:c r="G6" s="61" t="str">
        <x:v>Registration, PPE distribution, training and linkage with authorized recycler</x:v>
      </x:c>
      <x:c r="H6" s="61" t="str">
        <x:v>Quarterly follow-up by district administration</x:v>
      </x:c>
      <x:c r="I6" s="64"/>
      <x:c r="J6" s="64"/>
      <x:c r="K6" s="64"/>
    </x:row>
    <x:row r="7" ht="24" hidden="0" customHeight="1">
      <x:c r="B7" s="62" t="str">
        <x:v>Amreli Scrap &amp; Repair Cluster</x:v>
      </x:c>
      <x:c r="C7" s="62" t="str">
        <x:v>Amreli</x:v>
      </x:c>
      <x:c r="D7" s="62" t="str">
        <x:v>Partially Formalized</x:v>
      </x:c>
      <x:c r="E7" s="62" t="n">
        <x:v>22</x:v>
      </x:c>
      <x:c r="F7" s="62" t="n">
        <x:v>12</x:v>
      </x:c>
      <x:c r="G7" s="62" t="str">
        <x:v>Registration, PPE distribution, training and linkage with authorized recycler</x:v>
      </x:c>
      <x:c r="H7" s="62" t="str">
        <x:v>Quarterly follow-up by district administration</x:v>
      </x:c>
      <x:c r="I7" s="64"/>
      <x:c r="J7" s="64"/>
      <x:c r="K7" s="64"/>
    </x:row>
    <x:row r="8" ht="24" hidden="0" customHeight="1">
      <x:c r="B8" s="62" t="str">
        <x:v>Anand Scrap &amp; Repair Cluster</x:v>
      </x:c>
      <x:c r="C8" s="62" t="str">
        <x:v>Anand</x:v>
      </x:c>
      <x:c r="D8" s="62" t="str">
        <x:v>Formalized</x:v>
      </x:c>
      <x:c r="E8" s="62" t="n">
        <x:v>32</x:v>
      </x:c>
      <x:c r="F8" s="62" t="n">
        <x:v>20</x:v>
      </x:c>
      <x:c r="G8" s="62" t="str">
        <x:v>Registration, PPE distribution, training and linkage with authorized recycler</x:v>
      </x:c>
      <x:c r="H8" s="62" t="str">
        <x:v>Quarterly follow-up by district administration</x:v>
      </x:c>
      <x:c r="I8" s="64"/>
      <x:c r="J8" s="64"/>
      <x:c r="K8" s="64"/>
    </x:row>
    <x:row r="9" ht="24" hidden="0" customHeight="1">
      <x:c r="B9" s="62" t="str">
        <x:v>Aravalli Scrap &amp; Repair Cluster</x:v>
      </x:c>
      <x:c r="C9" s="62" t="str">
        <x:v>Aravalli</x:v>
      </x:c>
      <x:c r="D9" s="62" t="str">
        <x:v>Identified</x:v>
      </x:c>
      <x:c r="E9" s="62" t="n">
        <x:v>15</x:v>
      </x:c>
      <x:c r="F9" s="62" t="n">
        <x:v>11</x:v>
      </x:c>
      <x:c r="G9" s="62" t="str">
        <x:v>Registration, PPE distribution, training and linkage with authorized recycler</x:v>
      </x:c>
      <x:c r="H9" s="62" t="str">
        <x:v>Quarterly follow-up by district administration</x:v>
      </x:c>
      <x:c r="I9" s="64"/>
      <x:c r="J9" s="64"/>
      <x:c r="K9" s="64"/>
    </x:row>
    <x:row r="10" ht="24" hidden="0" customHeight="1">
      <x:c r="B10" s="62" t="str">
        <x:v>Banaskantha Scrap &amp; Repair Cluster</x:v>
      </x:c>
      <x:c r="C10" s="62" t="str">
        <x:v>Banaskantha</x:v>
      </x:c>
      <x:c r="D10" s="62" t="str">
        <x:v>Under Formalization</x:v>
      </x:c>
      <x:c r="E10" s="62" t="n">
        <x:v>30</x:v>
      </x:c>
      <x:c r="F10" s="62" t="n">
        <x:v>24</x:v>
      </x:c>
      <x:c r="G10" s="62" t="str">
        <x:v>Registration, PPE distribution, training and linkage with authorized recycler</x:v>
      </x:c>
      <x:c r="H10" s="62" t="str">
        <x:v>Quarterly follow-up by district administration</x:v>
      </x:c>
      <x:c r="I10" s="64"/>
      <x:c r="J10" s="64"/>
      <x:c r="K10" s="64"/>
    </x:row>
    <x:row r="11" ht="24" hidden="0" customHeight="1">
      <x:c r="B11" s="62" t="str">
        <x:v>Bharuch Scrap &amp; Repair Cluster</x:v>
      </x:c>
      <x:c r="C11" s="62" t="str">
        <x:v>Bharuch</x:v>
      </x:c>
      <x:c r="D11" s="62" t="str">
        <x:v>Partially Formalized</x:v>
      </x:c>
      <x:c r="E11" s="62" t="n">
        <x:v>24</x:v>
      </x:c>
      <x:c r="F11" s="62" t="n">
        <x:v>8</x:v>
      </x:c>
      <x:c r="G11" s="62" t="str">
        <x:v>Registration, PPE distribution, training and linkage with authorized recycler</x:v>
      </x:c>
      <x:c r="H11" s="62" t="str">
        <x:v>Quarterly follow-up by district administration</x:v>
      </x:c>
      <x:c r="I11" s="64"/>
      <x:c r="J11" s="64"/>
      <x:c r="K11" s="64"/>
    </x:row>
    <x:row r="12" ht="24" hidden="0" customHeight="1">
      <x:c r="B12" s="62" t="str">
        <x:v>Bhavnagar Scrap &amp; Repair Cluster</x:v>
      </x:c>
      <x:c r="C12" s="62" t="str">
        <x:v>Bhavnagar</x:v>
      </x:c>
      <x:c r="D12" s="62" t="str">
        <x:v>Formalized</x:v>
      </x:c>
      <x:c r="E12" s="62" t="n">
        <x:v>43</x:v>
      </x:c>
      <x:c r="F12" s="62" t="n">
        <x:v>19</x:v>
      </x:c>
      <x:c r="G12" s="62" t="str">
        <x:v>Registration, PPE distribution, training and linkage with authorized recycler</x:v>
      </x:c>
      <x:c r="H12" s="62" t="str">
        <x:v>Quarterly follow-up by district administration</x:v>
      </x:c>
      <x:c r="I12" s="64"/>
      <x:c r="J12" s="64"/>
      <x:c r="K12" s="64"/>
    </x:row>
    <x:row r="13" ht="24" hidden="0" customHeight="1">
      <x:c r="B13" s="62" t="str">
        <x:v>Botad Scrap &amp; Repair Cluster</x:v>
      </x:c>
      <x:c r="C13" s="62" t="str">
        <x:v>Botad</x:v>
      </x:c>
      <x:c r="D13" s="62" t="str">
        <x:v>Identified</x:v>
      </x:c>
      <x:c r="E13" s="62" t="n">
        <x:v>12</x:v>
      </x:c>
      <x:c r="F13" s="62" t="n">
        <x:v>6</x:v>
      </x:c>
      <x:c r="G13" s="62" t="str">
        <x:v>Registration, PPE distribution, training and linkage with authorized recycler</x:v>
      </x:c>
      <x:c r="H13" s="62" t="str">
        <x:v>Quarterly follow-up by district administration</x:v>
      </x:c>
      <x:c r="I13" s="64"/>
      <x:c r="J13" s="64"/>
      <x:c r="K13" s="64"/>
    </x:row>
    <x:row r="14" ht="24" hidden="0" customHeight="1">
      <x:c r="B14" s="62" t="str">
        <x:v>Chhota Udaipur Scrap &amp; Repair Cluster</x:v>
      </x:c>
      <x:c r="C14" s="62" t="str">
        <x:v>Chhota Udaipur</x:v>
      </x:c>
      <x:c r="D14" s="62" t="str">
        <x:v>Under Formalization</x:v>
      </x:c>
      <x:c r="E14" s="62" t="n">
        <x:v>15</x:v>
      </x:c>
      <x:c r="F14" s="62" t="n">
        <x:v>9</x:v>
      </x:c>
      <x:c r="G14" s="62" t="str">
        <x:v>Registration, PPE distribution, training and linkage with authorized recycler</x:v>
      </x:c>
      <x:c r="H14" s="62" t="str">
        <x:v>Quarterly follow-up by district administration</x:v>
      </x:c>
      <x:c r="I14" s="64"/>
      <x:c r="J14" s="64"/>
      <x:c r="K14" s="64"/>
    </x:row>
    <x:row r="15" ht="24" hidden="0" customHeight="1">
      <x:c r="B15" s="62" t="str">
        <x:v>Dahod Scrap &amp; Repair Cluster</x:v>
      </x:c>
      <x:c r="C15" s="62" t="str">
        <x:v>Dahod</x:v>
      </x:c>
      <x:c r="D15" s="62" t="str">
        <x:v>Partially Formalized</x:v>
      </x:c>
      <x:c r="E15" s="62" t="n">
        <x:v>29</x:v>
      </x:c>
      <x:c r="F15" s="62" t="n">
        <x:v>21</x:v>
      </x:c>
      <x:c r="G15" s="62" t="str">
        <x:v>Registration, PPE distribution, training and linkage with authorized recycler</x:v>
      </x:c>
      <x:c r="H15" s="62" t="str">
        <x:v>Quarterly follow-up by district administration</x:v>
      </x:c>
      <x:c r="I15" s="64"/>
      <x:c r="J15" s="64"/>
      <x:c r="K15" s="64"/>
    </x:row>
    <x:row r="16" ht="24" hidden="0" customHeight="1">
      <x:c r="B16" s="62" t="str">
        <x:v>Dang Scrap &amp; Repair Cluster</x:v>
      </x:c>
      <x:c r="C16" s="62" t="str">
        <x:v>Dang</x:v>
      </x:c>
      <x:c r="D16" s="62" t="str">
        <x:v>Formalized</x:v>
      </x:c>
      <x:c r="E16" s="62" t="n">
        <x:v>12</x:v>
      </x:c>
      <x:c r="F16" s="62" t="n">
        <x:v>10</x:v>
      </x:c>
      <x:c r="G16" s="62" t="str">
        <x:v>Registration, PPE distribution, training and linkage with authorized recycler</x:v>
      </x:c>
      <x:c r="H16" s="62" t="str">
        <x:v>Quarterly follow-up by district administration</x:v>
      </x:c>
      <x:c r="I16" s="64"/>
      <x:c r="J16" s="64"/>
      <x:c r="K16" s="64"/>
    </x:row>
    <x:row r="17" ht="24" hidden="0" customHeight="1">
      <x:c r="B17" s="62" t="str">
        <x:v>Devbhoomi Dwarka Scrap &amp; Repair Cluster</x:v>
      </x:c>
      <x:c r="C17" s="62" t="str">
        <x:v>Devbhoomi Dwarka</x:v>
      </x:c>
      <x:c r="D17" s="62" t="str">
        <x:v>Identified</x:v>
      </x:c>
      <x:c r="E17" s="62" t="n">
        <x:v>12</x:v>
      </x:c>
      <x:c r="F17" s="62" t="n">
        <x:v>4</x:v>
      </x:c>
      <x:c r="G17" s="62" t="str">
        <x:v>Registration, PPE distribution, training and linkage with authorized recycler</x:v>
      </x:c>
      <x:c r="H17" s="62" t="str">
        <x:v>Quarterly follow-up by district administration</x:v>
      </x:c>
      <x:c r="I17" s="64"/>
      <x:c r="J17" s="64"/>
      <x:c r="K17" s="64"/>
    </x:row>
    <x:row r="18" ht="24" hidden="0" customHeight="1">
      <x:c r="B18" s="62" t="str">
        <x:v>Gandhinagar Scrap &amp; Repair Cluster</x:v>
      </x:c>
      <x:c r="C18" s="62" t="str">
        <x:v>Gandhinagar</x:v>
      </x:c>
      <x:c r="D18" s="62" t="str">
        <x:v>Under Formalization</x:v>
      </x:c>
      <x:c r="E18" s="62" t="n">
        <x:v>23</x:v>
      </x:c>
      <x:c r="F18" s="62" t="n">
        <x:v>10</x:v>
      </x:c>
      <x:c r="G18" s="62" t="str">
        <x:v>Registration, PPE distribution, training and linkage with authorized recycler</x:v>
      </x:c>
      <x:c r="H18" s="62" t="str">
        <x:v>Quarterly follow-up by district administration</x:v>
      </x:c>
      <x:c r="I18" s="64"/>
      <x:c r="J18" s="64"/>
      <x:c r="K18" s="64"/>
    </x:row>
    <x:row r="19" ht="24" hidden="0" customHeight="1">
      <x:c r="B19" s="62" t="str">
        <x:v>Gir Somnath Scrap &amp; Repair Cluster</x:v>
      </x:c>
      <x:c r="C19" s="62" t="str">
        <x:v>Gir Somnath</x:v>
      </x:c>
      <x:c r="D19" s="62" t="str">
        <x:v>Partially Formalized</x:v>
      </x:c>
      <x:c r="E19" s="62" t="n">
        <x:v>18</x:v>
      </x:c>
      <x:c r="F19" s="62" t="n">
        <x:v>10</x:v>
      </x:c>
      <x:c r="G19" s="62" t="str">
        <x:v>Registration, PPE distribution, training and linkage with authorized recycler</x:v>
      </x:c>
      <x:c r="H19" s="62" t="str">
        <x:v>Quarterly follow-up by district administration</x:v>
      </x:c>
      <x:c r="I19" s="64"/>
      <x:c r="J19" s="64"/>
      <x:c r="K19" s="64"/>
    </x:row>
    <x:row r="20" ht="24" hidden="0" customHeight="1">
      <x:c r="B20" s="62" t="str">
        <x:v>Jamnagar Scrap &amp; Repair Cluster</x:v>
      </x:c>
      <x:c r="C20" s="62" t="str">
        <x:v>Jamnagar</x:v>
      </x:c>
      <x:c r="D20" s="62" t="str">
        <x:v>Formalized</x:v>
      </x:c>
      <x:c r="E20" s="62" t="n">
        <x:v>33</x:v>
      </x:c>
      <x:c r="F20" s="62" t="n">
        <x:v>20</x:v>
      </x:c>
      <x:c r="G20" s="62" t="str">
        <x:v>Registration, PPE distribution, training and linkage with authorized recycler</x:v>
      </x:c>
      <x:c r="H20" s="62" t="str">
        <x:v>Quarterly follow-up by district administration</x:v>
      </x:c>
      <x:c r="I20" s="64"/>
      <x:c r="J20" s="64"/>
      <x:c r="K20" s="64"/>
    </x:row>
    <x:row r="21" ht="24" hidden="0" customHeight="1">
      <x:c r="B21" s="62" t="str">
        <x:v>Junagadh Scrap &amp; Repair Cluster</x:v>
      </x:c>
      <x:c r="C21" s="62" t="str">
        <x:v>Junagadh</x:v>
      </x:c>
      <x:c r="D21" s="62" t="str">
        <x:v>Identified</x:v>
      </x:c>
      <x:c r="E21" s="62" t="n">
        <x:v>40</x:v>
      </x:c>
      <x:c r="F21" s="62" t="n">
        <x:v>28</x:v>
      </x:c>
      <x:c r="G21" s="62" t="str">
        <x:v>Registration, PPE distribution, training and linkage with authorized recycler</x:v>
      </x:c>
      <x:c r="H21" s="62" t="str">
        <x:v>Quarterly follow-up by district administration</x:v>
      </x:c>
      <x:c r="I21" s="64"/>
      <x:c r="J21" s="64"/>
      <x:c r="K21" s="64"/>
    </x:row>
    <x:row r="22" ht="24" hidden="0" customHeight="1">
      <x:c r="B22" s="62" t="str">
        <x:v>Kheda Scrap &amp; Repair Cluster</x:v>
      </x:c>
      <x:c r="C22" s="62" t="str">
        <x:v>Kheda</x:v>
      </x:c>
      <x:c r="D22" s="62" t="str">
        <x:v>Under Formalization</x:v>
      </x:c>
      <x:c r="E22" s="62" t="n">
        <x:v>34</x:v>
      </x:c>
      <x:c r="F22" s="62" t="n">
        <x:v>27</x:v>
      </x:c>
      <x:c r="G22" s="62" t="str">
        <x:v>Registration, PPE distribution, training and linkage with authorized recycler</x:v>
      </x:c>
      <x:c r="H22" s="62" t="str">
        <x:v>Quarterly follow-up by district administration</x:v>
      </x:c>
      <x:c r="I22" s="64"/>
      <x:c r="J22" s="64"/>
      <x:c r="K22" s="64"/>
    </x:row>
    <x:row r="23" ht="24" hidden="0" customHeight="1">
      <x:c r="B23" s="62" t="str">
        <x:v>Kutch Scrap &amp; Repair Cluster</x:v>
      </x:c>
      <x:c r="C23" s="62" t="str">
        <x:v>Kutch</x:v>
      </x:c>
      <x:c r="D23" s="62" t="str">
        <x:v>Partially Formalized</x:v>
      </x:c>
      <x:c r="E23" s="62" t="n">
        <x:v>32</x:v>
      </x:c>
      <x:c r="F23" s="62" t="n">
        <x:v>11</x:v>
      </x:c>
      <x:c r="G23" s="62" t="str">
        <x:v>Registration, PPE distribution, training and linkage with authorized recycler</x:v>
      </x:c>
      <x:c r="H23" s="62" t="str">
        <x:v>Quarterly follow-up by district administration</x:v>
      </x:c>
      <x:c r="I23" s="64"/>
      <x:c r="J23" s="64"/>
      <x:c r="K23" s="64"/>
    </x:row>
    <x:row r="24" ht="24" hidden="0" customHeight="1">
      <x:c r="B24" s="62" t="str">
        <x:v>Mahisagar Scrap &amp; Repair Cluster</x:v>
      </x:c>
      <x:c r="C24" s="62" t="str">
        <x:v>Mahisagar</x:v>
      </x:c>
      <x:c r="D24" s="62" t="str">
        <x:v>Formalized</x:v>
      </x:c>
      <x:c r="E24" s="62" t="n">
        <x:v>14</x:v>
      </x:c>
      <x:c r="F24" s="62" t="n">
        <x:v>6</x:v>
      </x:c>
      <x:c r="G24" s="62" t="str">
        <x:v>Registration, PPE distribution, training and linkage with authorized recycler</x:v>
      </x:c>
      <x:c r="H24" s="62" t="str">
        <x:v>Quarterly follow-up by district administration</x:v>
      </x:c>
      <x:c r="I24" s="64"/>
      <x:c r="J24" s="64"/>
      <x:c r="K24" s="64"/>
    </x:row>
    <x:row r="25" ht="24" hidden="0" customHeight="1">
      <x:c r="B25" s="62" t="str">
        <x:v>Mehsana Scrap &amp; Repair Cluster</x:v>
      </x:c>
      <x:c r="C25" s="62" t="str">
        <x:v>Mehsana</x:v>
      </x:c>
      <x:c r="D25" s="62" t="str">
        <x:v>Identified</x:v>
      </x:c>
      <x:c r="E25" s="62" t="n">
        <x:v>31</x:v>
      </x:c>
      <x:c r="F25" s="62" t="n">
        <x:v>16</x:v>
      </x:c>
      <x:c r="G25" s="62" t="str">
        <x:v>Registration, PPE distribution, training and linkage with authorized recycler</x:v>
      </x:c>
      <x:c r="H25" s="62" t="str">
        <x:v>Quarterly follow-up by district administration</x:v>
      </x:c>
      <x:c r="I25" s="64"/>
      <x:c r="J25" s="64"/>
      <x:c r="K25" s="64"/>
    </x:row>
    <x:row r="26" ht="24" hidden="0" customHeight="1">
      <x:c r="B26" s="62" t="str">
        <x:v>Morbi Scrap &amp; Repair Cluster</x:v>
      </x:c>
      <x:c r="C26" s="62" t="str">
        <x:v>Morbi</x:v>
      </x:c>
      <x:c r="D26" s="62" t="str">
        <x:v>Under Formalization</x:v>
      </x:c>
      <x:c r="E26" s="62" t="n">
        <x:v>15</x:v>
      </x:c>
      <x:c r="F26" s="62" t="n">
        <x:v>9</x:v>
      </x:c>
      <x:c r="G26" s="62" t="str">
        <x:v>Registration, PPE distribution, training and linkage with authorized recycler</x:v>
      </x:c>
      <x:c r="H26" s="62" t="str">
        <x:v>Quarterly follow-up by district administration</x:v>
      </x:c>
      <x:c r="I26" s="64"/>
      <x:c r="J26" s="64"/>
      <x:c r="K26" s="64"/>
    </x:row>
    <x:row r="27" ht="26.399999618530273" hidden="0" customHeight="1">
      <x:c r="B27" s="64" t="str">
        <x:v>Narmada Scrap &amp; Repair Cluster</x:v>
      </x:c>
      <x:c r="C27" s="64" t="str">
        <x:v>Narmada</x:v>
      </x:c>
      <x:c r="D27" s="64" t="str">
        <x:v>Partially Formalized</x:v>
      </x:c>
      <x:c r="E27" s="64" t="n">
        <x:v>12</x:v>
      </x:c>
      <x:c r="F27" s="64" t="n">
        <x:v>9</x:v>
      </x:c>
      <x:c r="G27" s="64" t="str">
        <x:v>Registration, PPE distribution, training and linkage with authorized recycler</x:v>
      </x:c>
      <x:c r="H27" s="64" t="str">
        <x:v>Quarterly follow-up by district administration</x:v>
      </x:c>
      <x:c r="I27" s="64"/>
      <x:c r="J27" s="64"/>
      <x:c r="K27" s="64"/>
    </x:row>
    <x:row r="28" ht="26.399999618530273" hidden="0" customHeight="1">
      <x:c r="B28" s="66" t="str">
        <x:v>Navsari Scrap &amp; Repair Cluster</x:v>
      </x:c>
      <x:c r="C28" s="66" t="str">
        <x:f aca="0"/>
        <x:v>Navsari</x:v>
      </x:c>
      <x:c r="D28" s="64" t="str">
        <x:v>Formalized</x:v>
      </x:c>
      <x:c r="E28" s="64" t="n">
        <x:v>21</x:v>
      </x:c>
      <x:c r="F28" s="64" t="n">
        <x:v>17</x:v>
      </x:c>
      <x:c r="G28" s="64" t="str">
        <x:v>Registration, PPE distribution, training and linkage with authorized recycler</x:v>
      </x:c>
      <x:c r="H28" s="64" t="str">
        <x:v>Quarterly follow-up by district administration</x:v>
      </x:c>
      <x:c r="I28" s="64"/>
      <x:c r="J28" s="64"/>
      <x:c r="K28" s="64"/>
    </x:row>
    <x:row r="29" ht="26.399999618530273" hidden="0" customHeight="1">
      <x:c r="B29" s="66" t="str">
        <x:v>Panchmahal Scrap &amp; Repair Cluster</x:v>
      </x:c>
      <x:c r="C29" s="66" t="str">
        <x:f aca="0"/>
        <x:v>Panchmahal</x:v>
      </x:c>
      <x:c r="D29" s="64" t="str">
        <x:v>Identified</x:v>
      </x:c>
      <x:c r="E29" s="64" t="n">
        <x:v>34</x:v>
      </x:c>
      <x:c r="F29" s="64" t="n">
        <x:v>12</x:v>
      </x:c>
      <x:c r="G29" s="64" t="str">
        <x:v>Registration, PPE distribution, training and linkage with authorized recycler</x:v>
      </x:c>
      <x:c r="H29" s="64" t="str">
        <x:v>Quarterly follow-up by district administration</x:v>
      </x:c>
      <x:c r="I29" s="64"/>
      <x:c r="J29" s="64"/>
      <x:c r="K29" s="64"/>
    </x:row>
    <x:row r="30" ht="26.399999618530273" hidden="0" customHeight="1">
      <x:c r="B30" s="66" t="str">
        <x:v>Patan Scrap &amp; Repair Cluster</x:v>
      </x:c>
      <x:c r="C30" s="66" t="str">
        <x:f aca="0"/>
        <x:v>Patan</x:v>
      </x:c>
      <x:c r="D30" s="64" t="str">
        <x:v>Under Formalization</x:v>
      </x:c>
      <x:c r="E30" s="64" t="n">
        <x:v>19</x:v>
      </x:c>
      <x:c r="F30" s="64" t="n">
        <x:v>8</x:v>
      </x:c>
      <x:c r="G30" s="64" t="str">
        <x:v>Registration, PPE distribution, training and linkage with authorized recycler</x:v>
      </x:c>
      <x:c r="H30" s="64" t="str">
        <x:v>Quarterly follow-up by district administration</x:v>
      </x:c>
      <x:c r="I30" s="64"/>
      <x:c r="J30" s="64"/>
      <x:c r="K30" s="64"/>
    </x:row>
    <x:row r="31" ht="26.399999618530273" hidden="0" customHeight="1">
      <x:c r="B31" s="66" t="str">
        <x:v>Porbandar Scrap &amp; Repair Cluster</x:v>
      </x:c>
      <x:c r="C31" s="66" t="str">
        <x:f aca="0"/>
        <x:v>Porbandar</x:v>
      </x:c>
      <x:c r="D31" s="64" t="str">
        <x:v>Partially Formalized</x:v>
      </x:c>
      <x:c r="E31" s="64" t="n">
        <x:v>12</x:v>
      </x:c>
      <x:c r="F31" s="64" t="n">
        <x:v>6</x:v>
      </x:c>
      <x:c r="G31" s="64" t="str">
        <x:v>Registration, PPE distribution, training and linkage with authorized recycler</x:v>
      </x:c>
      <x:c r="H31" s="64" t="str">
        <x:v>Quarterly follow-up by district administration</x:v>
      </x:c>
      <x:c r="I31" s="64"/>
      <x:c r="J31" s="64"/>
      <x:c r="K31" s="64"/>
    </x:row>
    <x:row r="32" ht="26.399999618530273" hidden="0" customHeight="1">
      <x:c r="B32" s="64" t="str">
        <x:v>Rajkot Scrap &amp; Repair Cluster</x:v>
      </x:c>
      <x:c r="C32" s="64" t="str">
        <x:v>Rajkot</x:v>
      </x:c>
      <x:c r="D32" s="64" t="str">
        <x:v>Formalized</x:v>
      </x:c>
      <x:c r="E32" s="64" t="n">
        <x:v>51</x:v>
      </x:c>
      <x:c r="F32" s="64" t="n">
        <x:v>32</x:v>
      </x:c>
      <x:c r="G32" s="64" t="str">
        <x:v>Registration, PPE distribution, training and linkage with authorized recycler</x:v>
      </x:c>
      <x:c r="H32" s="64" t="str">
        <x:v>Quarterly follow-up by district administration</x:v>
      </x:c>
      <x:c r="I32" s="64"/>
      <x:c r="J32" s="64"/>
      <x:c r="K32" s="64"/>
    </x:row>
    <x:row r="33" ht="26.399999618530273" hidden="0" customHeight="1">
      <x:c r="B33" s="64" t="str">
        <x:v>Sabarkantha Scrap &amp; Repair Cluster</x:v>
      </x:c>
      <x:c r="C33" s="64" t="str">
        <x:v>Sabarkantha</x:v>
      </x:c>
      <x:c r="D33" s="64" t="str">
        <x:v>Identified</x:v>
      </x:c>
      <x:c r="E33" s="64" t="n">
        <x:v>35</x:v>
      </x:c>
      <x:c r="F33" s="64" t="n">
        <x:v>25</x:v>
      </x:c>
      <x:c r="G33" s="64" t="str">
        <x:v>Registration, PPE distribution, training and linkage with authorized recycler</x:v>
      </x:c>
      <x:c r="H33" s="64" t="str">
        <x:v>Quarterly follow-up by district administration</x:v>
      </x:c>
      <x:c r="I33" s="64"/>
      <x:c r="J33" s="64"/>
      <x:c r="K33" s="64"/>
    </x:row>
    <x:row r="34" ht="26.399999618530273" hidden="0" customHeight="1">
      <x:c r="B34" s="64" t="str">
        <x:v>Surat Scrap &amp; Repair Cluster</x:v>
      </x:c>
      <x:c r="C34" s="64" t="str">
        <x:v>Surat</x:v>
      </x:c>
      <x:c r="D34" s="64" t="str">
        <x:v>Under Formalization</x:v>
      </x:c>
      <x:c r="E34" s="64" t="n">
        <x:v>103</x:v>
      </x:c>
      <x:c r="F34" s="64" t="n">
        <x:v>82</x:v>
      </x:c>
      <x:c r="G34" s="64" t="str">
        <x:v>Registration, PPE distribution, training and linkage with authorized recycler</x:v>
      </x:c>
      <x:c r="H34" s="64" t="str">
        <x:v>Quarterly follow-up by district administration</x:v>
      </x:c>
      <x:c r="I34" s="64"/>
      <x:c r="J34" s="64"/>
      <x:c r="K34" s="64"/>
    </x:row>
    <x:row r="35" ht="26.399999618530273" hidden="0" customHeight="1">
      <x:c r="B35" s="64" t="str">
        <x:v>Surendranagar Scrap &amp; Repair Cluster</x:v>
      </x:c>
      <x:c r="C35" s="64" t="str">
        <x:v>Surendranagar</x:v>
      </x:c>
      <x:c r="D35" s="64" t="str">
        <x:v>Partially Formalized</x:v>
      </x:c>
      <x:c r="E35" s="64" t="n">
        <x:v>26</x:v>
      </x:c>
      <x:c r="F35" s="64" t="n">
        <x:v>9</x:v>
      </x:c>
      <x:c r="G35" s="64" t="str">
        <x:v>Registration, PPE distribution, training and linkage with authorized recycler</x:v>
      </x:c>
      <x:c r="H35" s="64" t="str">
        <x:v>Quarterly follow-up by district administration</x:v>
      </x:c>
      <x:c r="I35" s="64"/>
      <x:c r="J35" s="64"/>
      <x:c r="K35" s="64"/>
    </x:row>
    <x:row r="36" ht="26.399999618530273" hidden="0" customHeight="1">
      <x:c r="B36" s="64" t="str">
        <x:v>Tapi Scrap &amp; Repair Cluster</x:v>
      </x:c>
      <x:c r="C36" s="64" t="str">
        <x:v>Tapi</x:v>
      </x:c>
      <x:c r="D36" s="64" t="str">
        <x:v>Formalized</x:v>
      </x:c>
      <x:c r="E36" s="64" t="n">
        <x:v>12</x:v>
      </x:c>
      <x:c r="F36" s="64" t="n">
        <x:v>5</x:v>
      </x:c>
      <x:c r="G36" s="64" t="str">
        <x:v>Registration, PPE distribution, training and linkage with authorized recycler</x:v>
      </x:c>
      <x:c r="H36" s="64" t="str">
        <x:v>Quarterly follow-up by district administration</x:v>
      </x:c>
      <x:c r="I36" s="64"/>
      <x:c r="J36" s="64"/>
      <x:c r="K36" s="64"/>
    </x:row>
    <x:row r="37" ht="26.399999618530273" hidden="0" customHeight="1">
      <x:c r="B37" s="64" t="str">
        <x:v>Vadodara Scrap &amp; Repair Cluster</x:v>
      </x:c>
      <x:c r="C37" s="64" t="str">
        <x:v>Vadodara</x:v>
      </x:c>
      <x:c r="D37" s="64" t="str">
        <x:v>Identified</x:v>
      </x:c>
      <x:c r="E37" s="64" t="n">
        <x:v>59</x:v>
      </x:c>
      <x:c r="F37" s="64" t="n">
        <x:v>31</x:v>
      </x:c>
      <x:c r="G37" s="64" t="str">
        <x:v>Registration, PPE distribution, training and linkage with authorized recycler</x:v>
      </x:c>
      <x:c r="H37" s="64" t="str">
        <x:v>Quarterly follow-up by district administration</x:v>
      </x:c>
      <x:c r="I37" s="64"/>
      <x:c r="J37" s="64"/>
      <x:c r="K37" s="64"/>
    </x:row>
    <x:row r="38" ht="26.399999618530273" hidden="0" customHeight="1">
      <x:c r="B38" s="64" t="str">
        <x:v>Valsad Scrap &amp; Repair Cluster</x:v>
      </x:c>
      <x:c r="C38" s="64" t="str">
        <x:v>Valsad</x:v>
      </x:c>
      <x:c r="D38" s="64" t="str">
        <x:v>Under Formalization</x:v>
      </x:c>
      <x:c r="E38" s="64" t="n">
        <x:v>26</x:v>
      </x:c>
      <x:c r="F38" s="64" t="n">
        <x:v>16</x:v>
      </x:c>
      <x:c r="G38" s="64" t="str">
        <x:v>Registration, PPE distribution, training and linkage with authorized recycler</x:v>
      </x:c>
      <x:c r="H38" s="64" t="str">
        <x:v>Quarterly follow-up by district administration</x:v>
      </x:c>
      <x:c r="I38" s="64"/>
      <x:c r="J38" s="64"/>
      <x:c r="K38" s="64"/>
    </x:row>
    <x:row r="39" ht="26.399999618530273" hidden="0" customHeight="1">
      <x:c r="B39" s="64" t="str">
        <x:v>Vav-Tharad Scrap &amp; Repair Cluster</x:v>
      </x:c>
      <x:c r="C39" s="64" t="str">
        <x:v>Vav-Tharad</x:v>
      </x:c>
      <x:c r="D39" s="64" t="str">
        <x:v>Partially Formalized</x:v>
      </x:c>
      <x:c r="E39" s="64" t="n">
        <x:v>14</x:v>
      </x:c>
      <x:c r="F39" s="64" t="n">
        <x:v>10</x:v>
      </x:c>
      <x:c r="G39" s="64" t="str">
        <x:v>Registration, PPE distribution, training and linkage with authorized recycler</x:v>
      </x:c>
      <x:c r="H39" s="64" t="str">
        <x:v>Quarterly follow-up by district administration</x:v>
      </x:c>
      <x:c r="I39" s="64"/>
      <x:c r="J39" s="64"/>
      <x:c r="K39" s="64"/>
    </x:row>
    <x:row r="40" ht="15" hidden="0" customHeight="1"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</x:row>
    <x:row r="41" ht="15" hidden="0" customHeight="1">
      <x:c r="B41" s="64" t="str">
        <x:v>Total Hotspots</x:v>
      </x:c>
      <x:c r="C41" s="64" t="n">
        <x:f>COUNTA(B6:B39)</x:f>
        <x:v>34</x:v>
      </x:c>
      <x:c r="D41" s="64"/>
      <x:c r="E41" s="64"/>
      <x:c r="F41" s="64"/>
      <x:c r="G41" s="64"/>
      <x:c r="H41" s="64"/>
      <x:c r="I41" s="64"/>
      <x:c r="J41" s="64"/>
      <x:c r="K41" s="64"/>
    </x:row>
    <x:row r="42" ht="15" hidden="0" customHeight="1">
      <x:c r="B42" s="64" t="str">
        <x:v>Formalized/Remediated</x:v>
      </x:c>
      <x:c r="C42" s="64" t="n">
        <x:f>COUNTIF(D6:D39,"Formalized")</x:f>
        <x:v>8</x:v>
      </x:c>
      <x:c r="D42" s="64"/>
      <x:c r="E42" s="64"/>
      <x:c r="F42" s="64"/>
      <x:c r="G42" s="64"/>
      <x:c r="H42" s="64"/>
      <x:c r="I42" s="64"/>
      <x:c r="J42" s="64"/>
      <x:c r="K42" s="64"/>
    </x:row>
    <x:row r="43" ht="15" hidden="0" customHeight="1">
      <x:c r="B43" s="64" t="str">
        <x:v>Estimated Workers (Total)</x:v>
      </x:c>
      <x:c r="C43" s="64" t="n">
        <x:f>SUM(E6:E39)</x:f>
        <x:v>1035</x:v>
      </x:c>
      <x:c r="D43" s="64"/>
      <x:c r="E43" s="64"/>
      <x:c r="F43" s="64"/>
      <x:c r="G43" s="64"/>
      <x:c r="H43" s="64"/>
      <x:c r="I43" s="64"/>
      <x:c r="J43" s="64"/>
      <x:c r="K43" s="64"/>
    </x:row>
    <x:row r="44" ht="15" hidden="0" customHeight="1">
      <x:c r="B44" s="64" t="str">
        <x:v>Workers Registered/Trained (Total)</x:v>
      </x:c>
      <x:c r="C44" s="64" t="n">
        <x:f>SUM(F6:F39)</x:f>
        <x:v>598</x:v>
      </x:c>
      <x:c r="D44" s="64"/>
      <x:c r="E44" s="64"/>
      <x:c r="F44" s="64"/>
      <x:c r="G44" s="64"/>
      <x:c r="H44" s="64"/>
      <x:c r="I44" s="64"/>
      <x:c r="J44" s="64"/>
      <x:c r="K44" s="64"/>
    </x:row>
    <x:row r="45" ht="15" hidden="0" customHeight="1"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</x:row>
    <x:row r="46" ht="15" hidden="0" customHeight="1"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</x:row>
  </x:sheetData>
  <x:mergeCells>
    <x:mergeCell ref="A2:G2"/>
    <x:mergeCell ref="B3:H3"/>
  </x:mergeCells>
  <x:dataValidations count="1">
    <x:dataValidation type="list" errorStyle="stop" operator="between" allowBlank="1" showDropDown="0" showInputMessage="0" showErrorMessage="0" sqref="D7:D26">
      <x:formula1>"Active (Not Formalized),Partially Formalized,Formalized,Remediated"</x:formula1>
      <x:formula2>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32" hidden="0" customWidth="1"/>
    <x:col min="3" max="3" width="18" hidden="0" customWidth="1"/>
    <x:col min="4" max="4" width="20" hidden="0" customWidth="1"/>
    <x:col min="5" max="5" width="14" hidden="0" customWidth="1"/>
    <x:col min="6" max="6" width="24" hidden="0" customWidth="1"/>
    <x:col min="7" max="7" width="20" hidden="0" customWidth="1"/>
    <x:col min="8" max="8" width="18" hidden="0" customWidth="1"/>
    <x:col min="9" max="9" width="36" hidden="0" customWidth="1"/>
  </x:cols>
  <x:sheetData>
    <x:row r="2" ht="25.5" hidden="0" customHeight="1">
      <x:c r="A2" s="1" t="s">
        <x:v>84</x:v>
      </x:c>
      <x:c r="B2" s="1"/>
      <x:c r="C2" s="1"/>
      <x:c r="D2" s="1"/>
      <x:c r="E2" s="1"/>
      <x:c r="F2" s="1"/>
      <x:c r="G2" s="1"/>
      <x:c r="H2" s="1"/>
    </x:row>
    <x:row r="3" ht="15" hidden="0">
      <x:c r="B3" s="2" t="s">
        <x:v>85</x:v>
      </x:c>
      <x:c r="C3" s="2"/>
      <x:c r="D3" s="2"/>
      <x:c r="E3" s="2"/>
      <x:c r="F3" s="2"/>
      <x:c r="G3" s="2"/>
      <x:c r="H3" s="2"/>
      <x:c r="I3" s="2"/>
    </x:row>
    <x:row r="5" ht="24" hidden="0" customHeight="1">
      <x:c r="B5" s="60" t="s">
        <x:v>86</x:v>
      </x:c>
      <x:c r="C5" s="60" t="s">
        <x:v>42</x:v>
      </x:c>
      <x:c r="D5" s="60" t="s">
        <x:v>87</x:v>
      </x:c>
      <x:c r="E5" s="60" t="s">
        <x:v>88</x:v>
      </x:c>
      <x:c r="F5" s="60" t="s">
        <x:v>89</x:v>
      </x:c>
      <x:c r="G5" s="60" t="s">
        <x:v>90</x:v>
      </x:c>
      <x:c r="H5" s="60" t="s">
        <x:v>91</x:v>
      </x:c>
      <x:c r="I5" s="60" t="s">
        <x:v>59</x:v>
      </x:c>
      <x:c r="J5" s="64"/>
      <x:c r="K5" s="64"/>
    </x:row>
    <x:row r="6" ht="24" hidden="0" customHeight="1">
      <x:c r="B6" s="61" t="str">
        <x:v>Ahmedabad Scrap &amp; Repair Cluster</x:v>
      </x:c>
      <x:c r="C6" s="61" t="str">
        <x:v>Ahmedabad</x:v>
      </x:c>
      <x:c r="D6" s="61" t="str">
        <x:v>Air + Soil</x:v>
      </x:c>
      <x:c r="E6" s="54" t="n">
        <x:v>46028</x:v>
      </x:c>
      <x:c r="F6" s="61" t="str">
        <x:v>Corrective Action Required</x:v>
      </x:c>
      <x:c r="G6" s="61" t="str">
        <x:v>Yes</x:v>
      </x:c>
      <x:c r="H6" s="61" t="n">
        <x:v>481</x:v>
      </x:c>
      <x:c r="I6" s="61" t="str">
        <x:v>Sampling records and health screening summary filed with district cell</x:v>
      </x:c>
      <x:c r="J6" s="64"/>
      <x:c r="K6" s="64"/>
    </x:row>
    <x:row r="7" ht="24" hidden="0" customHeight="1">
      <x:c r="B7" s="62" t="str">
        <x:v>Amreli Scrap &amp; Repair Cluster</x:v>
      </x:c>
      <x:c r="C7" s="62" t="str">
        <x:v>Amreli</x:v>
      </x:c>
      <x:c r="D7" s="62" t="str">
        <x:v>Groundwater</x:v>
      </x:c>
      <x:c r="E7" s="55" t="n">
        <x:v>46060</x:v>
      </x:c>
      <x:c r="F7" s="62" t="str">
        <x:v>Within Limit</x:v>
      </x:c>
      <x:c r="G7" s="62" t="str">
        <x:v>Yes</x:v>
      </x:c>
      <x:c r="H7" s="62" t="n">
        <x:v>101</x:v>
      </x:c>
      <x:c r="I7" s="62" t="str">
        <x:v>Sampling records and health screening summary filed with district cell</x:v>
      </x:c>
      <x:c r="J7" s="64"/>
      <x:c r="K7" s="64"/>
    </x:row>
    <x:row r="8" ht="24" hidden="0" customHeight="1">
      <x:c r="B8" s="62" t="str">
        <x:v>Anand Scrap &amp; Repair Cluster</x:v>
      </x:c>
      <x:c r="C8" s="62" t="str">
        <x:v>Anand</x:v>
      </x:c>
      <x:c r="D8" s="62" t="str">
        <x:v>Workplace Exposure</x:v>
      </x:c>
      <x:c r="E8" s="55" t="n">
        <x:v>46089</x:v>
      </x:c>
      <x:c r="F8" s="62" t="str">
        <x:v>Within Limit</x:v>
      </x:c>
      <x:c r="G8" s="62" t="str">
        <x:v>No</x:v>
      </x:c>
      <x:c r="H8" s="62" t="n">
        <x:v>0</x:v>
      </x:c>
      <x:c r="I8" s="62" t="str">
        <x:v>Sampling records and health screening summary filed with district cell</x:v>
      </x:c>
      <x:c r="J8" s="64"/>
      <x:c r="K8" s="64"/>
    </x:row>
    <x:row r="9" ht="24" hidden="0" customHeight="1">
      <x:c r="B9" s="62" t="str">
        <x:v>Aravalli Scrap &amp; Repair Cluster</x:v>
      </x:c>
      <x:c r="C9" s="62" t="str">
        <x:v>Aravalli</x:v>
      </x:c>
      <x:c r="D9" s="62" t="str">
        <x:v>Soil + Water</x:v>
      </x:c>
      <x:c r="E9" s="55" t="n">
        <x:v>46121</x:v>
      </x:c>
      <x:c r="F9" s="62" t="str">
        <x:v>Within Limit</x:v>
      </x:c>
      <x:c r="G9" s="62" t="str">
        <x:v>Yes</x:v>
      </x:c>
      <x:c r="H9" s="62" t="n">
        <x:v>70</x:v>
      </x:c>
      <x:c r="I9" s="62" t="str">
        <x:v>Sampling records and health screening summary filed with district cell</x:v>
      </x:c>
      <x:c r="J9" s="64"/>
      <x:c r="K9" s="64"/>
    </x:row>
    <x:row r="10" ht="24" hidden="0" customHeight="1">
      <x:c r="B10" s="62" t="str">
        <x:v>Banaskantha Scrap &amp; Repair Cluster</x:v>
      </x:c>
      <x:c r="C10" s="62" t="str">
        <x:v>Banaskantha</x:v>
      </x:c>
      <x:c r="D10" s="62" t="str">
        <x:v>Air + Soil</x:v>
      </x:c>
      <x:c r="E10" s="55" t="n">
        <x:v>46152</x:v>
      </x:c>
      <x:c r="F10" s="62" t="str">
        <x:v>Corrective Action Required</x:v>
      </x:c>
      <x:c r="G10" s="62" t="str">
        <x:v>Yes</x:v>
      </x:c>
      <x:c r="H10" s="62" t="n">
        <x:v>143</x:v>
      </x:c>
      <x:c r="I10" s="62" t="str">
        <x:v>Sampling records and health screening summary filed with district cell</x:v>
      </x:c>
      <x:c r="J10" s="64"/>
      <x:c r="K10" s="64"/>
    </x:row>
    <x:row r="11" ht="24" hidden="0" customHeight="1">
      <x:c r="B11" s="62" t="str">
        <x:v>Bharuch Scrap &amp; Repair Cluster</x:v>
      </x:c>
      <x:c r="C11" s="62" t="str">
        <x:v>Bharuch</x:v>
      </x:c>
      <x:c r="D11" s="62" t="str">
        <x:v>Groundwater</x:v>
      </x:c>
      <x:c r="E11" s="55" t="n">
        <x:v>46184</x:v>
      </x:c>
      <x:c r="F11" s="62" t="str">
        <x:v>Corrective Action Required</x:v>
      </x:c>
      <x:c r="G11" s="62" t="str">
        <x:v>No</x:v>
      </x:c>
      <x:c r="H11" s="62" t="n">
        <x:v>0</x:v>
      </x:c>
      <x:c r="I11" s="62" t="str">
        <x:v>Sampling records and health screening summary filed with district cell</x:v>
      </x:c>
      <x:c r="J11" s="64"/>
      <x:c r="K11" s="64"/>
    </x:row>
    <x:row r="12" ht="24" hidden="0" customHeight="1">
      <x:c r="B12" s="62" t="str">
        <x:v>Bhavnagar Scrap &amp; Repair Cluster</x:v>
      </x:c>
      <x:c r="C12" s="62" t="str">
        <x:v>Bhavnagar</x:v>
      </x:c>
      <x:c r="D12" s="62" t="str">
        <x:v>Workplace Exposure</x:v>
      </x:c>
      <x:c r="E12" s="55" t="n">
        <x:v>46034</x:v>
      </x:c>
      <x:c r="F12" s="62" t="str">
        <x:v>Within Limit</x:v>
      </x:c>
      <x:c r="G12" s="62" t="str">
        <x:v>Yes</x:v>
      </x:c>
      <x:c r="H12" s="62" t="n">
        <x:v>192</x:v>
      </x:c>
      <x:c r="I12" s="62" t="str">
        <x:v>Sampling records and health screening summary filed with district cell</x:v>
      </x:c>
      <x:c r="J12" s="64"/>
      <x:c r="K12" s="64"/>
    </x:row>
    <x:row r="13" ht="24" hidden="0" customHeight="1">
      <x:c r="B13" s="62" t="str">
        <x:v>Botad Scrap &amp; Repair Cluster</x:v>
      </x:c>
      <x:c r="C13" s="62" t="str">
        <x:v>Botad</x:v>
      </x:c>
      <x:c r="D13" s="62" t="str">
        <x:v>Soil + Water</x:v>
      </x:c>
      <x:c r="E13" s="55" t="n">
        <x:v>46066</x:v>
      </x:c>
      <x:c r="F13" s="62" t="str">
        <x:v>Within Limit</x:v>
      </x:c>
      <x:c r="G13" s="62" t="str">
        <x:v>Yes</x:v>
      </x:c>
      <x:c r="H13" s="62" t="n">
        <x:v>44</x:v>
      </x:c>
      <x:c r="I13" s="62" t="str">
        <x:v>Sampling records and health screening summary filed with district cell</x:v>
      </x:c>
      <x:c r="J13" s="64"/>
      <x:c r="K13" s="64"/>
    </x:row>
    <x:row r="14" ht="24" hidden="0" customHeight="1">
      <x:c r="B14" s="62" t="str">
        <x:v>Chhota Udaipur Scrap &amp; Repair Cluster</x:v>
      </x:c>
      <x:c r="C14" s="62" t="str">
        <x:v>Chhota Udaipur</x:v>
      </x:c>
      <x:c r="D14" s="62" t="str">
        <x:v>Air + Soil</x:v>
      </x:c>
      <x:c r="E14" s="55" t="n">
        <x:v>46095</x:v>
      </x:c>
      <x:c r="F14" s="62" t="str">
        <x:v>Within Limit</x:v>
      </x:c>
      <x:c r="G14" s="62" t="str">
        <x:v>No</x:v>
      </x:c>
      <x:c r="H14" s="62" t="n">
        <x:v>0</x:v>
      </x:c>
      <x:c r="I14" s="62" t="str">
        <x:v>Sampling records and health screening summary filed with district cell</x:v>
      </x:c>
      <x:c r="J14" s="64"/>
      <x:c r="K14" s="64"/>
    </x:row>
    <x:row r="15" ht="24" hidden="0" customHeight="1">
      <x:c r="B15" s="62" t="str">
        <x:v>Dahod Scrap &amp; Repair Cluster</x:v>
      </x:c>
      <x:c r="C15" s="62" t="str">
        <x:v>Dahod</x:v>
      </x:c>
      <x:c r="D15" s="62" t="str">
        <x:v>Groundwater</x:v>
      </x:c>
      <x:c r="E15" s="55" t="n">
        <x:v>46127</x:v>
      </x:c>
      <x:c r="F15" s="62" t="str">
        <x:v>Corrective Action Required</x:v>
      </x:c>
      <x:c r="G15" s="62" t="str">
        <x:v>Yes</x:v>
      </x:c>
      <x:c r="H15" s="62" t="n">
        <x:v>142</x:v>
      </x:c>
      <x:c r="I15" s="62" t="str">
        <x:v>Sampling records and health screening summary filed with district cell</x:v>
      </x:c>
      <x:c r="J15" s="64"/>
      <x:c r="K15" s="64"/>
    </x:row>
    <x:row r="16" ht="24" hidden="0" customHeight="1">
      <x:c r="B16" s="62" t="str">
        <x:v>Dang Scrap &amp; Repair Cluster</x:v>
      </x:c>
      <x:c r="C16" s="62" t="str">
        <x:v>Dang</x:v>
      </x:c>
      <x:c r="D16" s="62" t="str">
        <x:v>Workplace Exposure</x:v>
      </x:c>
      <x:c r="E16" s="55" t="n">
        <x:v>46158</x:v>
      </x:c>
      <x:c r="F16" s="62" t="str">
        <x:v>Corrective Action Required</x:v>
      </x:c>
      <x:c r="G16" s="62" t="str">
        <x:v>Yes</x:v>
      </x:c>
      <x:c r="H16" s="62" t="n">
        <x:v>15</x:v>
      </x:c>
      <x:c r="I16" s="62" t="str">
        <x:v>Sampling records and health screening summary filed with district cell</x:v>
      </x:c>
      <x:c r="J16" s="64"/>
      <x:c r="K16" s="64"/>
    </x:row>
    <x:row r="17" ht="24" hidden="0" customHeight="1">
      <x:c r="B17" s="62" t="str">
        <x:v>Devbhoomi Dwarka Scrap &amp; Repair Cluster</x:v>
      </x:c>
      <x:c r="C17" s="62" t="str">
        <x:v>Devbhoomi Dwarka</x:v>
      </x:c>
      <x:c r="D17" s="62" t="str">
        <x:v>Soil + Water</x:v>
      </x:c>
      <x:c r="E17" s="55" t="n">
        <x:v>46190</x:v>
      </x:c>
      <x:c r="F17" s="62" t="str">
        <x:v>Within Limit</x:v>
      </x:c>
      <x:c r="G17" s="62" t="str">
        <x:v>No</x:v>
      </x:c>
      <x:c r="H17" s="62" t="n">
        <x:v>0</x:v>
      </x:c>
      <x:c r="I17" s="62" t="str">
        <x:v>Sampling records and health screening summary filed with district cell</x:v>
      </x:c>
      <x:c r="J17" s="64"/>
      <x:c r="K17" s="64"/>
    </x:row>
    <x:row r="18" ht="24" hidden="0" customHeight="1">
      <x:c r="B18" s="62" t="str">
        <x:v>Gandhinagar Scrap &amp; Repair Cluster</x:v>
      </x:c>
      <x:c r="C18" s="62" t="str">
        <x:v>Gandhinagar</x:v>
      </x:c>
      <x:c r="D18" s="62" t="str">
        <x:v>Air + Soil</x:v>
      </x:c>
      <x:c r="E18" s="55" t="n">
        <x:v>46040</x:v>
      </x:c>
      <x:c r="F18" s="62" t="str">
        <x:v>Within Limit</x:v>
      </x:c>
      <x:c r="G18" s="62" t="str">
        <x:v>Yes</x:v>
      </x:c>
      <x:c r="H18" s="62" t="n">
        <x:v>92</x:v>
      </x:c>
      <x:c r="I18" s="62" t="str">
        <x:v>Sampling records and health screening summary filed with district cell</x:v>
      </x:c>
      <x:c r="J18" s="64"/>
      <x:c r="K18" s="64"/>
    </x:row>
    <x:row r="19" ht="24" hidden="0" customHeight="1">
      <x:c r="B19" s="62" t="str">
        <x:v>Gir Somnath Scrap &amp; Repair Cluster</x:v>
      </x:c>
      <x:c r="C19" s="62" t="str">
        <x:v>Gir Somnath</x:v>
      </x:c>
      <x:c r="D19" s="62" t="str">
        <x:v>Groundwater</x:v>
      </x:c>
      <x:c r="E19" s="55" t="n">
        <x:v>46072</x:v>
      </x:c>
      <x:c r="F19" s="62" t="str">
        <x:v>Within Limit</x:v>
      </x:c>
      <x:c r="G19" s="62" t="str">
        <x:v>Yes</x:v>
      </x:c>
      <x:c r="H19" s="62" t="n">
        <x:v>81</x:v>
      </x:c>
      <x:c r="I19" s="62" t="str">
        <x:v>Sampling records and health screening summary filed with district cell</x:v>
      </x:c>
      <x:c r="J19" s="64"/>
      <x:c r="K19" s="64"/>
    </x:row>
    <x:row r="20" ht="24" hidden="0" customHeight="1">
      <x:c r="B20" s="62" t="str">
        <x:v>Jamnagar Scrap &amp; Repair Cluster</x:v>
      </x:c>
      <x:c r="C20" s="62" t="str">
        <x:v>Jamnagar</x:v>
      </x:c>
      <x:c r="D20" s="62" t="str">
        <x:v>Workplace Exposure</x:v>
      </x:c>
      <x:c r="E20" s="55" t="n">
        <x:v>46101</x:v>
      </x:c>
      <x:c r="F20" s="62" t="str">
        <x:v>Corrective Action Required</x:v>
      </x:c>
      <x:c r="G20" s="62" t="str">
        <x:v>No</x:v>
      </x:c>
      <x:c r="H20" s="62" t="n">
        <x:v>0</x:v>
      </x:c>
      <x:c r="I20" s="62" t="str">
        <x:v>Sampling records and health screening summary filed with district cell</x:v>
      </x:c>
      <x:c r="J20" s="64"/>
      <x:c r="K20" s="64"/>
    </x:row>
    <x:row r="21" ht="24" hidden="0" customHeight="1">
      <x:c r="B21" s="62" t="str">
        <x:v>Junagadh Scrap &amp; Repair Cluster</x:v>
      </x:c>
      <x:c r="C21" s="62" t="str">
        <x:v>Junagadh</x:v>
      </x:c>
      <x:c r="D21" s="62" t="str">
        <x:v>Soil + Water</x:v>
      </x:c>
      <x:c r="E21" s="55" t="n">
        <x:v>46133</x:v>
      </x:c>
      <x:c r="F21" s="62" t="str">
        <x:v>Corrective Action Required</x:v>
      </x:c>
      <x:c r="G21" s="62" t="str">
        <x:v>Yes</x:v>
      </x:c>
      <x:c r="H21" s="62" t="n">
        <x:v>183</x:v>
      </x:c>
      <x:c r="I21" s="62" t="str">
        <x:v>Sampling records and health screening summary filed with district cell</x:v>
      </x:c>
      <x:c r="J21" s="64"/>
      <x:c r="K21" s="64"/>
    </x:row>
    <x:row r="22" ht="24" hidden="0" customHeight="1">
      <x:c r="B22" s="62" t="str">
        <x:v>Kheda Scrap &amp; Repair Cluster</x:v>
      </x:c>
      <x:c r="C22" s="62" t="str">
        <x:v>Kheda</x:v>
      </x:c>
      <x:c r="D22" s="62" t="str">
        <x:v>Air + Soil</x:v>
      </x:c>
      <x:c r="E22" s="55" t="n">
        <x:v>46164</x:v>
      </x:c>
      <x:c r="F22" s="62" t="str">
        <x:v>Within Limit</x:v>
      </x:c>
      <x:c r="G22" s="62" t="str">
        <x:v>Yes</x:v>
      </x:c>
      <x:c r="H22" s="62" t="n">
        <x:v>153</x:v>
      </x:c>
      <x:c r="I22" s="62" t="str">
        <x:v>Sampling records and health screening summary filed with district cell</x:v>
      </x:c>
      <x:c r="J22" s="64"/>
      <x:c r="K22" s="64"/>
    </x:row>
    <x:row r="23" ht="24" hidden="0" customHeight="1">
      <x:c r="B23" s="62" t="str">
        <x:v>Kutch Scrap &amp; Repair Cluster</x:v>
      </x:c>
      <x:c r="C23" s="62" t="str">
        <x:v>Kutch</x:v>
      </x:c>
      <x:c r="D23" s="62" t="str">
        <x:v>Groundwater</x:v>
      </x:c>
      <x:c r="E23" s="55" t="n">
        <x:v>46196</x:v>
      </x:c>
      <x:c r="F23" s="62" t="str">
        <x:v>Within Limit</x:v>
      </x:c>
      <x:c r="G23" s="62" t="str">
        <x:v>No</x:v>
      </x:c>
      <x:c r="H23" s="62" t="n">
        <x:v>0</x:v>
      </x:c>
      <x:c r="I23" s="62" t="str">
        <x:v>Sampling records and health screening summary filed with district cell</x:v>
      </x:c>
      <x:c r="J23" s="64"/>
      <x:c r="K23" s="64"/>
    </x:row>
    <x:row r="24" ht="24" hidden="0" customHeight="1">
      <x:c r="B24" s="62" t="str">
        <x:v>Mahisagar Scrap &amp; Repair Cluster</x:v>
      </x:c>
      <x:c r="C24" s="62" t="str">
        <x:v>Mahisagar</x:v>
      </x:c>
      <x:c r="D24" s="62" t="str">
        <x:v>Workplace Exposure</x:v>
      </x:c>
      <x:c r="E24" s="55" t="n">
        <x:v>46046</x:v>
      </x:c>
      <x:c r="F24" s="62" t="str">
        <x:v>Within Limit</x:v>
      </x:c>
      <x:c r="G24" s="62" t="str">
        <x:v>Yes</x:v>
      </x:c>
      <x:c r="H24" s="62" t="n">
        <x:v>66</x:v>
      </x:c>
      <x:c r="I24" s="62" t="str">
        <x:v>Sampling records and health screening summary filed with district cell</x:v>
      </x:c>
      <x:c r="J24" s="64"/>
      <x:c r="K24" s="64"/>
    </x:row>
    <x:row r="25" ht="24" hidden="0" customHeight="1">
      <x:c r="B25" s="62" t="str">
        <x:v>Mehsana Scrap &amp; Repair Cluster</x:v>
      </x:c>
      <x:c r="C25" s="62" t="str">
        <x:v>Mehsana</x:v>
      </x:c>
      <x:c r="D25" s="62" t="str">
        <x:v>Soil + Water</x:v>
      </x:c>
      <x:c r="E25" s="55" t="n">
        <x:v>46058</x:v>
      </x:c>
      <x:c r="F25" s="62" t="str">
        <x:v>Corrective Action Required</x:v>
      </x:c>
      <x:c r="G25" s="62" t="str">
        <x:v>Yes</x:v>
      </x:c>
      <x:c r="H25" s="62" t="n">
        <x:v>135</x:v>
      </x:c>
      <x:c r="I25" s="62" t="str">
        <x:v>Sampling records and health screening summary filed with district cell</x:v>
      </x:c>
      <x:c r="J25" s="64"/>
      <x:c r="K25" s="64"/>
    </x:row>
    <x:row r="26" ht="24" hidden="0" customHeight="1">
      <x:c r="B26" s="62" t="str">
        <x:v>Morbi Scrap &amp; Repair Cluster</x:v>
      </x:c>
      <x:c r="C26" s="62" t="str">
        <x:v>Morbi</x:v>
      </x:c>
      <x:c r="D26" s="62" t="str">
        <x:v>Air + Soil</x:v>
      </x:c>
      <x:c r="E26" s="55" t="n">
        <x:v>46087</x:v>
      </x:c>
      <x:c r="F26" s="62" t="str">
        <x:v>Corrective Action Required</x:v>
      </x:c>
      <x:c r="G26" s="62" t="str">
        <x:v>No</x:v>
      </x:c>
      <x:c r="H26" s="62" t="n">
        <x:v>0</x:v>
      </x:c>
      <x:c r="I26" s="62" t="str">
        <x:v>Sampling records and health screening summary filed with district cell</x:v>
      </x:c>
      <x:c r="J26" s="64"/>
      <x:c r="K26" s="64"/>
    </x:row>
    <x:row r="27" ht="26.399999618530273" hidden="0" customHeight="1">
      <x:c r="B27" s="64" t="str">
        <x:v>Narmada Scrap &amp; Repair Cluster</x:v>
      </x:c>
      <x:c r="C27" s="64" t="str">
        <x:v>Narmada</x:v>
      </x:c>
      <x:c r="D27" s="64" t="str">
        <x:v>Groundwater</x:v>
      </x:c>
      <x:c r="E27" s="65" t="n">
        <x:v>46119</x:v>
      </x:c>
      <x:c r="F27" s="64" t="str">
        <x:v>Within Limit</x:v>
      </x:c>
      <x:c r="G27" s="64" t="str">
        <x:v>Yes</x:v>
      </x:c>
      <x:c r="H27" s="64" t="n">
        <x:v>39</x:v>
      </x:c>
      <x:c r="I27" s="64" t="str">
        <x:v>Sampling records and health screening summary filed with district cell</x:v>
      </x:c>
      <x:c r="J27" s="64"/>
      <x:c r="K27" s="64"/>
    </x:row>
    <x:row r="28" ht="26.399999618530273" hidden="0" customHeight="1">
      <x:c r="B28" s="66" t="str">
        <x:v>Navsari Scrap &amp; Repair Cluster</x:v>
      </x:c>
      <x:c r="C28" s="66" t="str">
        <x:f aca="0"/>
        <x:v>Navsari</x:v>
      </x:c>
      <x:c r="D28" s="64" t="str">
        <x:v>Workplace Exposure</x:v>
      </x:c>
      <x:c r="E28" s="65" t="n">
        <x:v>46150</x:v>
      </x:c>
      <x:c r="F28" s="64" t="str">
        <x:v>Within Limit</x:v>
      </x:c>
      <x:c r="G28" s="64" t="str">
        <x:v>Yes</x:v>
      </x:c>
      <x:c r="H28" s="64" t="n">
        <x:v>89</x:v>
      </x:c>
      <x:c r="I28" s="64" t="str">
        <x:v>Sampling records and health screening summary filed with district cell</x:v>
      </x:c>
      <x:c r="J28" s="64"/>
      <x:c r="K28" s="64"/>
    </x:row>
    <x:row r="29" ht="26.399999618530273" hidden="0" customHeight="1">
      <x:c r="B29" s="66" t="str">
        <x:v>Panchmahal Scrap &amp; Repair Cluster</x:v>
      </x:c>
      <x:c r="C29" s="66" t="str">
        <x:f aca="0"/>
        <x:v>Panchmahal</x:v>
      </x:c>
      <x:c r="D29" s="64" t="str">
        <x:v>Soil + Water</x:v>
      </x:c>
      <x:c r="E29" s="65" t="n">
        <x:v>46182</x:v>
      </x:c>
      <x:c r="F29" s="64" t="str">
        <x:v>Within Limit</x:v>
      </x:c>
      <x:c r="G29" s="64" t="str">
        <x:v>No</x:v>
      </x:c>
      <x:c r="H29" s="64" t="n">
        <x:v>0</x:v>
      </x:c>
      <x:c r="I29" s="64" t="str">
        <x:v>Sampling records and health screening summary filed with district cell</x:v>
      </x:c>
      <x:c r="J29" s="64"/>
      <x:c r="K29" s="64"/>
    </x:row>
    <x:row r="30" ht="26.399999618530273" hidden="0" customHeight="1">
      <x:c r="B30" s="66" t="str">
        <x:v>Patan Scrap &amp; Repair Cluster</x:v>
      </x:c>
      <x:c r="C30" s="66" t="str">
        <x:f aca="0"/>
        <x:v>Patan</x:v>
      </x:c>
      <x:c r="D30" s="64" t="str">
        <x:v>Air + Soil</x:v>
      </x:c>
      <x:c r="E30" s="65" t="n">
        <x:v>46032</x:v>
      </x:c>
      <x:c r="F30" s="64" t="str">
        <x:v>Corrective Action Required</x:v>
      </x:c>
      <x:c r="G30" s="64" t="str">
        <x:v>Yes</x:v>
      </x:c>
      <x:c r="H30" s="64" t="n">
        <x:v>90</x:v>
      </x:c>
      <x:c r="I30" s="64" t="str">
        <x:v>Sampling records and health screening summary filed with district cell</x:v>
      </x:c>
      <x:c r="J30" s="64"/>
      <x:c r="K30" s="64"/>
    </x:row>
    <x:row r="31" ht="26.399999618530273" hidden="0" customHeight="1">
      <x:c r="B31" s="64" t="str">
        <x:v>Porbandar Scrap &amp; Repair Cluster</x:v>
      </x:c>
      <x:c r="C31" s="64" t="str">
        <x:v>Porbandar</x:v>
      </x:c>
      <x:c r="D31" s="64" t="str">
        <x:v>Groundwater</x:v>
      </x:c>
      <x:c r="E31" s="65" t="n">
        <x:v>46064</x:v>
      </x:c>
      <x:c r="F31" s="64" t="str">
        <x:v>Corrective Action Required</x:v>
      </x:c>
      <x:c r="G31" s="64" t="str">
        <x:v>Yes</x:v>
      </x:c>
      <x:c r="H31" s="64" t="n">
        <x:v>39</x:v>
      </x:c>
      <x:c r="I31" s="64" t="str">
        <x:v>Sampling records and health screening summary filed with district cell</x:v>
      </x:c>
      <x:c r="J31" s="64"/>
      <x:c r="K31" s="64"/>
    </x:row>
    <x:row r="32" ht="26.399999618530273" hidden="0" customHeight="1">
      <x:c r="B32" s="64" t="str">
        <x:v>Rajkot Scrap &amp; Repair Cluster</x:v>
      </x:c>
      <x:c r="C32" s="64" t="str">
        <x:v>Rajkot</x:v>
      </x:c>
      <x:c r="D32" s="64" t="str">
        <x:v>Workplace Exposure</x:v>
      </x:c>
      <x:c r="E32" s="65" t="n">
        <x:v>46093</x:v>
      </x:c>
      <x:c r="F32" s="64" t="str">
        <x:v>Within Limit</x:v>
      </x:c>
      <x:c r="G32" s="64" t="str">
        <x:v>No</x:v>
      </x:c>
      <x:c r="H32" s="64" t="n">
        <x:v>0</x:v>
      </x:c>
      <x:c r="I32" s="64" t="str">
        <x:v>Sampling records and health screening summary filed with district cell</x:v>
      </x:c>
      <x:c r="J32" s="64"/>
      <x:c r="K32" s="64"/>
    </x:row>
    <x:row r="33" ht="26.399999618530273" hidden="0" customHeight="1">
      <x:c r="B33" s="64" t="str">
        <x:v>Sabarkantha Scrap &amp; Repair Cluster</x:v>
      </x:c>
      <x:c r="C33" s="64" t="str">
        <x:v>Sabarkantha</x:v>
      </x:c>
      <x:c r="D33" s="64" t="str">
        <x:v>Soil + Water</x:v>
      </x:c>
      <x:c r="E33" s="65" t="n">
        <x:v>46125</x:v>
      </x:c>
      <x:c r="F33" s="64" t="str">
        <x:v>Within Limit</x:v>
      </x:c>
      <x:c r="G33" s="64" t="str">
        <x:v>Yes</x:v>
      </x:c>
      <x:c r="H33" s="64" t="n">
        <x:v>164</x:v>
      </x:c>
      <x:c r="I33" s="64" t="str">
        <x:v>Sampling records and health screening summary filed with district cell</x:v>
      </x:c>
      <x:c r="J33" s="64"/>
      <x:c r="K33" s="64"/>
    </x:row>
    <x:row r="34" ht="26.399999618530273" hidden="0" customHeight="1">
      <x:c r="B34" s="64" t="str">
        <x:v>Surat Scrap &amp; Repair Cluster</x:v>
      </x:c>
      <x:c r="C34" s="64" t="str">
        <x:v>Surat</x:v>
      </x:c>
      <x:c r="D34" s="64" t="str">
        <x:v>Air + Soil</x:v>
      </x:c>
      <x:c r="E34" s="65" t="n">
        <x:v>46156</x:v>
      </x:c>
      <x:c r="F34" s="64" t="str">
        <x:v>Within Limit</x:v>
      </x:c>
      <x:c r="G34" s="64" t="str">
        <x:v>Yes</x:v>
      </x:c>
      <x:c r="H34" s="64" t="n">
        <x:v>405</x:v>
      </x:c>
      <x:c r="I34" s="64" t="str">
        <x:v>Sampling records and health screening summary filed with district cell</x:v>
      </x:c>
      <x:c r="J34" s="64"/>
      <x:c r="K34" s="64"/>
    </x:row>
    <x:row r="35" ht="26.399999618530273" hidden="0" customHeight="1">
      <x:c r="B35" s="64" t="str">
        <x:v>Surendranagar Scrap &amp; Repair Cluster</x:v>
      </x:c>
      <x:c r="C35" s="64" t="str">
        <x:v>Surendranagar</x:v>
      </x:c>
      <x:c r="D35" s="64" t="str">
        <x:v>Groundwater</x:v>
      </x:c>
      <x:c r="E35" s="65" t="n">
        <x:v>46188</x:v>
      </x:c>
      <x:c r="F35" s="64" t="str">
        <x:v>Corrective Action Required</x:v>
      </x:c>
      <x:c r="G35" s="64" t="str">
        <x:v>No</x:v>
      </x:c>
      <x:c r="H35" s="64" t="n">
        <x:v>0</x:v>
      </x:c>
      <x:c r="I35" s="64" t="str">
        <x:v>Sampling records and health screening summary filed with district cell</x:v>
      </x:c>
      <x:c r="J35" s="64"/>
      <x:c r="K35" s="64"/>
    </x:row>
    <x:row r="36" ht="26.399999618530273" hidden="0" customHeight="1">
      <x:c r="B36" s="64" t="str">
        <x:v>Tapi Scrap &amp; Repair Cluster</x:v>
      </x:c>
      <x:c r="C36" s="64" t="str">
        <x:v>Tapi</x:v>
      </x:c>
      <x:c r="D36" s="64" t="str">
        <x:v>Workplace Exposure</x:v>
      </x:c>
      <x:c r="E36" s="65" t="n">
        <x:v>46038</x:v>
      </x:c>
      <x:c r="F36" s="64" t="str">
        <x:v>Corrective Action Required</x:v>
      </x:c>
      <x:c r="G36" s="64" t="str">
        <x:v>Yes</x:v>
      </x:c>
      <x:c r="H36" s="64" t="n">
        <x:v>54</x:v>
      </x:c>
      <x:c r="I36" s="64" t="str">
        <x:v>Sampling records and health screening summary filed with district cell</x:v>
      </x:c>
      <x:c r="J36" s="64"/>
      <x:c r="K36" s="64"/>
    </x:row>
    <x:row r="37" ht="26.399999618530273" hidden="0" customHeight="1">
      <x:c r="B37" s="64" t="str">
        <x:v>Vadodara Scrap &amp; Repair Cluster</x:v>
      </x:c>
      <x:c r="C37" s="64" t="str">
        <x:v>Vadodara</x:v>
      </x:c>
      <x:c r="D37" s="64" t="str">
        <x:v>Soil + Water</x:v>
      </x:c>
      <x:c r="E37" s="65" t="n">
        <x:v>46070</x:v>
      </x:c>
      <x:c r="F37" s="64" t="str">
        <x:v>Within Limit</x:v>
      </x:c>
      <x:c r="G37" s="64" t="str">
        <x:v>Yes</x:v>
      </x:c>
      <x:c r="H37" s="64" t="n">
        <x:v>243</x:v>
      </x:c>
      <x:c r="I37" s="64" t="str">
        <x:v>Sampling records and health screening summary filed with district cell</x:v>
      </x:c>
      <x:c r="J37" s="64"/>
      <x:c r="K37" s="64"/>
    </x:row>
    <x:row r="38" ht="26.399999618530273" hidden="0" customHeight="1">
      <x:c r="B38" s="64" t="str">
        <x:v>Valsad Scrap &amp; Repair Cluster</x:v>
      </x:c>
      <x:c r="C38" s="64" t="str">
        <x:v>Valsad</x:v>
      </x:c>
      <x:c r="D38" s="64" t="str">
        <x:v>Air + Soil</x:v>
      </x:c>
      <x:c r="E38" s="65" t="n">
        <x:v>46099</x:v>
      </x:c>
      <x:c r="F38" s="64" t="str">
        <x:v>Within Limit</x:v>
      </x:c>
      <x:c r="G38" s="64" t="str">
        <x:v>No</x:v>
      </x:c>
      <x:c r="H38" s="64" t="n">
        <x:v>0</x:v>
      </x:c>
      <x:c r="I38" s="64" t="str">
        <x:v>Sampling records and health screening summary filed with district cell</x:v>
      </x:c>
      <x:c r="J38" s="64"/>
      <x:c r="K38" s="64"/>
    </x:row>
    <x:row r="39" ht="26.399999618530273" hidden="0" customHeight="1">
      <x:c r="B39" s="64" t="str">
        <x:v>Vav-Tharad Scrap &amp; Repair Cluster</x:v>
      </x:c>
      <x:c r="C39" s="64" t="str">
        <x:v>Vav-Tharad</x:v>
      </x:c>
      <x:c r="D39" s="64" t="str">
        <x:v>Groundwater</x:v>
      </x:c>
      <x:c r="E39" s="65" t="n">
        <x:v>46131</x:v>
      </x:c>
      <x:c r="F39" s="64" t="str">
        <x:v>Within Limit</x:v>
      </x:c>
      <x:c r="G39" s="64" t="str">
        <x:v>Yes</x:v>
      </x:c>
      <x:c r="H39" s="64" t="n">
        <x:v>65</x:v>
      </x:c>
      <x:c r="I39" s="64" t="str">
        <x:v>Sampling records and health screening summary filed with district cell</x:v>
      </x:c>
      <x:c r="J39" s="64"/>
      <x:c r="K39" s="64"/>
    </x:row>
    <x:row r="40" ht="15" hidden="0" customHeight="1"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</x:row>
    <x:row r="41" ht="15" hidden="0" customHeight="1">
      <x:c r="B41" s="64" t="str">
        <x:v>Distinct Sites Monitored</x:v>
      </x:c>
      <x:c r="C41" s="64" t="n">
        <x:f>COUNTA(B6:B39)</x:f>
        <x:v>34</x:v>
      </x:c>
      <x:c r="D41" s="64"/>
      <x:c r="E41" s="64"/>
      <x:c r="F41" s="64"/>
      <x:c r="G41" s="64"/>
      <x:c r="H41" s="64"/>
      <x:c r="I41" s="64"/>
      <x:c r="J41" s="64"/>
      <x:c r="K41" s="64"/>
    </x:row>
    <x:row r="42" ht="15" hidden="0" customHeight="1">
      <x:c r="B42" s="64" t="str">
        <x:v>Health Camps Conducted</x:v>
      </x:c>
      <x:c r="C42" s="64" t="n">
        <x:f>COUNTIF(G6:G39,"Yes")</x:f>
        <x:v>23</x:v>
      </x:c>
      <x:c r="D42" s="64"/>
      <x:c r="E42" s="64"/>
      <x:c r="F42" s="64"/>
      <x:c r="G42" s="64"/>
      <x:c r="H42" s="64"/>
      <x:c r="I42" s="64"/>
      <x:c r="J42" s="64"/>
      <x:c r="K42" s="64"/>
    </x:row>
    <x:row r="43" ht="15" hidden="0" customHeight="1">
      <x:c r="B43" s="64" t="str">
        <x:v>Total Beneficiaries Screened</x:v>
      </x:c>
      <x:c r="C43" s="64" t="n">
        <x:f>SUM(H6:H39)</x:f>
        <x:v>3086</x:v>
      </x:c>
      <x:c r="D43" s="64"/>
      <x:c r="E43" s="64"/>
      <x:c r="F43" s="64"/>
      <x:c r="G43" s="64"/>
      <x:c r="H43" s="64"/>
      <x:c r="I43" s="64"/>
      <x:c r="J43" s="64"/>
      <x:c r="K43" s="64"/>
    </x:row>
    <x:row r="44" ht="15" hidden="0" customHeight="1"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</x:row>
    <x:row r="45" ht="15" hidden="0" customHeight="1"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</x:row>
    <x:row r="46" ht="15" hidden="0" customHeight="1"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</x:row>
  </x:sheetData>
  <x:mergeCells>
    <x:mergeCell ref="A2:H2"/>
    <x:mergeCell ref="B3:I3"/>
  </x:mergeCells>
  <x:dataValidations count="3">
    <x:dataValidation type="list" errorStyle="stop" operator="between" allowBlank="1" showDropDown="0" showInputMessage="0" showErrorMessage="0" sqref="D7:D26">
      <x:formula1>"Soil,Water,Air,Soil + Water,Soil + Water + Air"</x:formula1>
      <x:formula2>0</x:formula2>
    </x:dataValidation>
    <x:dataValidation type="list" errorStyle="stop" operator="between" allowBlank="1" showDropDown="0" showInputMessage="0" showErrorMessage="0" sqref="E7:E26">
      <x:formula1>"Within Limit,Exceeds Limit,Pending Analysis"</x:formula1>
      <x:formula2>0</x:formula2>
    </x:dataValidation>
    <x:dataValidation type="list" errorStyle="stop" operator="between" allowBlank="1" showDropDown="0" showInputMessage="0" showErrorMessage="0" sqref="F7:F26">
      <x:formula1>"Yes,No"</x:formula1>
      <x:formula2>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42" hidden="0" customWidth="1"/>
    <x:col min="3" max="4" width="16" hidden="0" customWidth="1"/>
    <x:col min="5" max="6" width="22" hidden="0" customWidth="1"/>
    <x:col min="7" max="7" width="20" hidden="0" customWidth="1"/>
    <x:col min="3" max="3" width="18" hidden="0" customWidth="1"/>
    <x:col min="4" max="4" width="14" hidden="0" customWidth="1"/>
    <x:col min="5" max="5" width="24" hidden="0" customWidth="1"/>
    <x:col min="6" max="6" width="30" hidden="0" customWidth="1"/>
  </x:cols>
  <x:sheetData>
    <x:row r="2" ht="25.5" hidden="0" customHeight="1">
      <x:c r="A2" s="1" t="s">
        <x:v>92</x:v>
      </x:c>
      <x:c r="B2" s="1"/>
      <x:c r="C2" s="1"/>
      <x:c r="D2" s="1"/>
      <x:c r="E2" s="1"/>
      <x:c r="F2" s="1"/>
    </x:row>
    <x:row r="3" ht="15" hidden="0">
      <x:c r="B3" s="2" t="s">
        <x:v>93</x:v>
      </x:c>
      <x:c r="C3" s="2"/>
      <x:c r="D3" s="2"/>
      <x:c r="E3" s="2"/>
      <x:c r="F3" s="2"/>
      <x:c r="G3" s="2"/>
    </x:row>
    <x:row r="5" ht="15" hidden="0" customHeight="1">
      <x:c r="B5" s="60" t="s">
        <x:v>94</x:v>
      </x:c>
      <x:c r="C5" s="60" t="s">
        <x:v>42</x:v>
      </x:c>
      <x:c r="D5" s="60" t="s">
        <x:v>88</x:v>
      </x:c>
      <x:c r="E5" s="60" t="s">
        <x:v>95</x:v>
      </x:c>
      <x:c r="F5" s="60" t="s">
        <x:v>96</x:v>
      </x:c>
      <x:c r="G5" s="60" t="s">
        <x:v>97</x:v>
      </x:c>
      <x:c r="H5" s="64"/>
      <x:c r="I5" s="64"/>
      <x:c r="J5" s="64"/>
      <x:c r="K5" s="64"/>
    </x:row>
    <x:row r="6" ht="24" hidden="0" customHeight="1">
      <x:c r="B6" s="61" t="str">
        <x:v>E-Waste Awareness &amp; Collection Campaign - Ahmedabad</x:v>
      </x:c>
      <x:c r="C6" s="61" t="str">
        <x:v>Ahmedabad</x:v>
      </x:c>
      <x:c r="D6" s="54" t="n">
        <x:v>46085</x:v>
      </x:c>
      <x:c r="E6" s="61" t="str">
        <x:v>RWA Awareness Camp</x:v>
      </x:c>
      <x:c r="F6" s="61" t="str">
        <x:v>Households and resident associations</x:v>
      </x:c>
      <x:c r="G6" s="61" t="n">
        <x:v>2923</x:v>
      </x:c>
      <x:c r="H6" s="64"/>
      <x:c r="I6" s="64"/>
      <x:c r="J6" s="64"/>
      <x:c r="K6" s="64"/>
    </x:row>
    <x:row r="7" ht="24" hidden="0" customHeight="1">
      <x:c r="B7" s="62" t="str">
        <x:v>E-Waste Awareness &amp; Collection Campaign - Amreli</x:v>
      </x:c>
      <x:c r="C7" s="62" t="str">
        <x:v>Amreli</x:v>
      </x:c>
      <x:c r="D7" s="55" t="n">
        <x:v>46117</x:v>
      </x:c>
      <x:c r="E7" s="62" t="str">
        <x:v>College E-Waste Drive</x:v>
      </x:c>
      <x:c r="F7" s="62" t="str">
        <x:v>College youth and faculty</x:v>
      </x:c>
      <x:c r="G7" s="62" t="n">
        <x:v>681</x:v>
      </x:c>
      <x:c r="H7" s="64"/>
      <x:c r="I7" s="64"/>
      <x:c r="J7" s="64"/>
      <x:c r="K7" s="64"/>
    </x:row>
    <x:row r="8" ht="24" hidden="0" customHeight="1">
      <x:c r="B8" s="62" t="str">
        <x:v>E-Waste Awareness &amp; Collection Campaign - Anand</x:v>
      </x:c>
      <x:c r="C8" s="62" t="str">
        <x:v>Anand</x:v>
      </x:c>
      <x:c r="D8" s="55" t="n">
        <x:v>46148</x:v>
      </x:c>
      <x:c r="E8" s="62" t="str">
        <x:v>Market Take-Back Campaign</x:v>
      </x:c>
      <x:c r="F8" s="62" t="str">
        <x:v>Retailers and consumers</x:v>
      </x:c>
      <x:c r="G8" s="62" t="n">
        <x:v>1034</x:v>
      </x:c>
      <x:c r="H8" s="64"/>
      <x:c r="I8" s="64"/>
      <x:c r="J8" s="64"/>
      <x:c r="K8" s="64"/>
    </x:row>
    <x:row r="9" ht="24" hidden="0" customHeight="1">
      <x:c r="B9" s="62" t="str">
        <x:v>E-Waste Awareness &amp; Collection Campaign - Aravalli</x:v>
      </x:c>
      <x:c r="C9" s="62" t="str">
        <x:v>Aravalli</x:v>
      </x:c>
      <x:c r="D9" s="55" t="n">
        <x:v>46180</x:v>
      </x:c>
      <x:c r="E9" s="62" t="str">
        <x:v>School Collection Drive</x:v>
      </x:c>
      <x:c r="F9" s="62" t="str">
        <x:v>Students and teachers</x:v>
      </x:c>
      <x:c r="G9" s="62" t="n">
        <x:v>567</x:v>
      </x:c>
      <x:c r="H9" s="64"/>
      <x:c r="I9" s="64"/>
      <x:c r="J9" s="64"/>
      <x:c r="K9" s="64"/>
    </x:row>
    <x:row r="10" ht="24" hidden="0" customHeight="1">
      <x:c r="B10" s="62" t="str">
        <x:v>E-Waste Awareness &amp; Collection Campaign - Banaskantha</x:v>
      </x:c>
      <x:c r="C10" s="62" t="str">
        <x:v>Banaskantha</x:v>
      </x:c>
      <x:c r="D10" s="55" t="n">
        <x:v>46030</x:v>
      </x:c>
      <x:c r="E10" s="62" t="str">
        <x:v>RWA Awareness Camp</x:v>
      </x:c>
      <x:c r="F10" s="62" t="str">
        <x:v>Households and resident associations</x:v>
      </x:c>
      <x:c r="G10" s="62" t="n">
        <x:v>773</x:v>
      </x:c>
      <x:c r="H10" s="64"/>
      <x:c r="I10" s="64"/>
      <x:c r="J10" s="64"/>
      <x:c r="K10" s="64"/>
    </x:row>
    <x:row r="11" ht="24" hidden="0" customHeight="1">
      <x:c r="B11" s="62" t="str">
        <x:v>E-Waste Awareness &amp; Collection Campaign - Bharuch</x:v>
      </x:c>
      <x:c r="C11" s="62" t="str">
        <x:v>Bharuch</x:v>
      </x:c>
      <x:c r="D11" s="55" t="n">
        <x:v>46062</x:v>
      </x:c>
      <x:c r="E11" s="62" t="str">
        <x:v>College E-Waste Drive</x:v>
      </x:c>
      <x:c r="F11" s="62" t="str">
        <x:v>College youth and faculty</x:v>
      </x:c>
      <x:c r="G11" s="62" t="n">
        <x:v>629</x:v>
      </x:c>
      <x:c r="H11" s="64"/>
      <x:c r="I11" s="64"/>
      <x:c r="J11" s="64"/>
      <x:c r="K11" s="64"/>
    </x:row>
    <x:row r="12" ht="24" hidden="0" customHeight="1">
      <x:c r="B12" s="62" t="str">
        <x:v>E-Waste Awareness &amp; Collection Campaign - Bhavnagar</x:v>
      </x:c>
      <x:c r="C12" s="62" t="str">
        <x:v>Bhavnagar</x:v>
      </x:c>
      <x:c r="D12" s="55" t="n">
        <x:v>46091</x:v>
      </x:c>
      <x:c r="E12" s="62" t="str">
        <x:v>Market Take-Back Campaign</x:v>
      </x:c>
      <x:c r="F12" s="62" t="str">
        <x:v>Retailers and consumers</x:v>
      </x:c>
      <x:c r="G12" s="62" t="n">
        <x:v>1295</x:v>
      </x:c>
      <x:c r="H12" s="64"/>
      <x:c r="I12" s="64"/>
      <x:c r="J12" s="64"/>
      <x:c r="K12" s="64"/>
    </x:row>
    <x:row r="13" ht="24" hidden="0" customHeight="1">
      <x:c r="B13" s="62" t="str">
        <x:v>E-Waste Awareness &amp; Collection Campaign - Botad</x:v>
      </x:c>
      <x:c r="C13" s="62" t="str">
        <x:v>Botad</x:v>
      </x:c>
      <x:c r="D13" s="55" t="n">
        <x:v>46123</x:v>
      </x:c>
      <x:c r="E13" s="62" t="str">
        <x:v>School Collection Drive</x:v>
      </x:c>
      <x:c r="F13" s="62" t="str">
        <x:v>Students and teachers</x:v>
      </x:c>
      <x:c r="G13" s="62" t="n">
        <x:v>324</x:v>
      </x:c>
      <x:c r="H13" s="64"/>
      <x:c r="I13" s="64"/>
      <x:c r="J13" s="64"/>
      <x:c r="K13" s="64"/>
    </x:row>
    <x:row r="14" ht="24" hidden="0" customHeight="1">
      <x:c r="B14" s="62" t="str">
        <x:v>E-Waste Awareness &amp; Collection Campaign - Chhota Udaipur</x:v>
      </x:c>
      <x:c r="C14" s="62" t="str">
        <x:v>Chhota Udaipur</x:v>
      </x:c>
      <x:c r="D14" s="55" t="n">
        <x:v>46154</x:v>
      </x:c>
      <x:c r="E14" s="62" t="str">
        <x:v>RWA Awareness Camp</x:v>
      </x:c>
      <x:c r="F14" s="62" t="str">
        <x:v>Households and resident associations</x:v>
      </x:c>
      <x:c r="G14" s="62" t="n">
        <x:v>578</x:v>
      </x:c>
      <x:c r="H14" s="64"/>
      <x:c r="I14" s="64"/>
      <x:c r="J14" s="64"/>
      <x:c r="K14" s="64"/>
    </x:row>
    <x:row r="15" ht="24" hidden="0" customHeight="1">
      <x:c r="B15" s="62" t="str">
        <x:v>E-Waste Awareness &amp; Collection Campaign - Dahod</x:v>
      </x:c>
      <x:c r="C15" s="62" t="str">
        <x:v>Dahod</x:v>
      </x:c>
      <x:c r="D15" s="55" t="n">
        <x:v>46186</x:v>
      </x:c>
      <x:c r="E15" s="62" t="str">
        <x:v>College E-Waste Drive</x:v>
      </x:c>
      <x:c r="F15" s="62" t="str">
        <x:v>College youth and faculty</x:v>
      </x:c>
      <x:c r="G15" s="62" t="n">
        <x:v>768</x:v>
      </x:c>
      <x:c r="H15" s="64"/>
      <x:c r="I15" s="64"/>
      <x:c r="J15" s="64"/>
      <x:c r="K15" s="64"/>
    </x:row>
    <x:row r="16" ht="24" hidden="0" customHeight="1">
      <x:c r="B16" s="62" t="str">
        <x:v>E-Waste Awareness &amp; Collection Campaign - Dang</x:v>
      </x:c>
      <x:c r="C16" s="62" t="str">
        <x:v>Dang</x:v>
      </x:c>
      <x:c r="D16" s="55" t="n">
        <x:v>46036</x:v>
      </x:c>
      <x:c r="E16" s="62" t="str">
        <x:v>Market Take-Back Campaign</x:v>
      </x:c>
      <x:c r="F16" s="62" t="str">
        <x:v>Retailers and consumers</x:v>
      </x:c>
      <x:c r="G16" s="62" t="n">
        <x:v>250</x:v>
      </x:c>
      <x:c r="H16" s="64"/>
      <x:c r="I16" s="64"/>
      <x:c r="J16" s="64"/>
      <x:c r="K16" s="64"/>
    </x:row>
    <x:row r="17" ht="24" hidden="0" customHeight="1">
      <x:c r="B17" s="62" t="str">
        <x:v>E-Waste Awareness &amp; Collection Campaign - Devbhoomi Dwarka</x:v>
      </x:c>
      <x:c r="C17" s="62" t="str">
        <x:v>Devbhoomi Dwarka</x:v>
      </x:c>
      <x:c r="D17" s="55" t="n">
        <x:v>46068</x:v>
      </x:c>
      <x:c r="E17" s="62" t="str">
        <x:v>School Collection Drive</x:v>
      </x:c>
      <x:c r="F17" s="62" t="str">
        <x:v>Students and teachers</x:v>
      </x:c>
      <x:c r="G17" s="62" t="n">
        <x:v>339</x:v>
      </x:c>
      <x:c r="H17" s="64"/>
      <x:c r="I17" s="64"/>
      <x:c r="J17" s="64"/>
      <x:c r="K17" s="64"/>
    </x:row>
    <x:row r="18" ht="24" hidden="0" customHeight="1">
      <x:c r="B18" s="62" t="str">
        <x:v>E-Waste Awareness &amp; Collection Campaign - Gandhinagar</x:v>
      </x:c>
      <x:c r="C18" s="62" t="str">
        <x:v>Gandhinagar</x:v>
      </x:c>
      <x:c r="D18" s="55" t="n">
        <x:v>46097</x:v>
      </x:c>
      <x:c r="E18" s="62" t="str">
        <x:v>RWA Awareness Camp</x:v>
      </x:c>
      <x:c r="F18" s="62" t="str">
        <x:v>Households and resident associations</x:v>
      </x:c>
      <x:c r="G18" s="62" t="n">
        <x:v>686</x:v>
      </x:c>
      <x:c r="H18" s="64"/>
      <x:c r="I18" s="64"/>
      <x:c r="J18" s="64"/>
      <x:c r="K18" s="64"/>
    </x:row>
    <x:row r="19" ht="24" hidden="0" customHeight="1">
      <x:c r="B19" s="62" t="str">
        <x:v>E-Waste Awareness &amp; Collection Campaign - Gir Somnath</x:v>
      </x:c>
      <x:c r="C19" s="62" t="str">
        <x:v>Gir Somnath</x:v>
      </x:c>
      <x:c r="D19" s="55" t="n">
        <x:v>46129</x:v>
      </x:c>
      <x:c r="E19" s="62" t="str">
        <x:v>College E-Waste Drive</x:v>
      </x:c>
      <x:c r="F19" s="62" t="str">
        <x:v>College youth and faculty</x:v>
      </x:c>
      <x:c r="G19" s="62" t="n">
        <x:v>656</x:v>
      </x:c>
      <x:c r="H19" s="64"/>
      <x:c r="I19" s="64"/>
      <x:c r="J19" s="64"/>
      <x:c r="K19" s="64"/>
    </x:row>
    <x:row r="20" ht="24" hidden="0" customHeight="1">
      <x:c r="B20" s="62" t="str">
        <x:v>E-Waste Awareness &amp; Collection Campaign - Jamnagar</x:v>
      </x:c>
      <x:c r="C20" s="62" t="str">
        <x:v>Jamnagar</x:v>
      </x:c>
      <x:c r="D20" s="55" t="n">
        <x:v>46160</x:v>
      </x:c>
      <x:c r="E20" s="62" t="str">
        <x:v>Market Take-Back Campaign</x:v>
      </x:c>
      <x:c r="F20" s="62" t="str">
        <x:v>Retailers and consumers</x:v>
      </x:c>
      <x:c r="G20" s="62" t="n">
        <x:v>780</x:v>
      </x:c>
      <x:c r="H20" s="64"/>
      <x:c r="I20" s="64"/>
      <x:c r="J20" s="64"/>
      <x:c r="K20" s="64"/>
    </x:row>
    <x:row r="21" ht="24" hidden="0" customHeight="1">
      <x:c r="B21" s="62" t="str">
        <x:v>E-Waste Awareness &amp; Collection Campaign - Junagadh</x:v>
      </x:c>
      <x:c r="C21" s="62" t="str">
        <x:v>Junagadh</x:v>
      </x:c>
      <x:c r="D21" s="55" t="n">
        <x:v>46192</x:v>
      </x:c>
      <x:c r="E21" s="62" t="str">
        <x:v>School Collection Drive</x:v>
      </x:c>
      <x:c r="F21" s="62" t="str">
        <x:v>Students and teachers</x:v>
      </x:c>
      <x:c r="G21" s="62" t="n">
        <x:v>1112</x:v>
      </x:c>
      <x:c r="H21" s="64"/>
      <x:c r="I21" s="64"/>
      <x:c r="J21" s="64"/>
      <x:c r="K21" s="64"/>
    </x:row>
    <x:row r="22" ht="24" hidden="0" customHeight="1">
      <x:c r="B22" s="62" t="str">
        <x:v>E-Waste Awareness &amp; Collection Campaign - Kheda</x:v>
      </x:c>
      <x:c r="C22" s="62" t="str">
        <x:v>Kheda</x:v>
      </x:c>
      <x:c r="D22" s="55" t="n">
        <x:v>46042</x:v>
      </x:c>
      <x:c r="E22" s="62" t="str">
        <x:v>RWA Awareness Camp</x:v>
      </x:c>
      <x:c r="F22" s="62" t="str">
        <x:v>Households and resident associations</x:v>
      </x:c>
      <x:c r="G22" s="62" t="n">
        <x:v>1035</x:v>
      </x:c>
      <x:c r="H22" s="64"/>
      <x:c r="I22" s="64"/>
      <x:c r="J22" s="64"/>
      <x:c r="K22" s="64"/>
    </x:row>
    <x:row r="23" ht="24" hidden="0" customHeight="1">
      <x:c r="B23" s="62" t="str">
        <x:v>E-Waste Awareness &amp; Collection Campaign - Kutch</x:v>
      </x:c>
      <x:c r="C23" s="62" t="str">
        <x:v>Kutch</x:v>
      </x:c>
      <x:c r="D23" s="55" t="n">
        <x:v>46074</x:v>
      </x:c>
      <x:c r="E23" s="62" t="str">
        <x:v>College E-Waste Drive</x:v>
      </x:c>
      <x:c r="F23" s="62" t="str">
        <x:v>College youth and faculty</x:v>
      </x:c>
      <x:c r="G23" s="62" t="n">
        <x:v>1034</x:v>
      </x:c>
      <x:c r="H23" s="64"/>
      <x:c r="I23" s="64"/>
      <x:c r="J23" s="64"/>
      <x:c r="K23" s="64"/>
    </x:row>
    <x:row r="24" ht="24" hidden="0" customHeight="1">
      <x:c r="B24" s="62" t="str">
        <x:v>E-Waste Awareness &amp; Collection Campaign - Mahisagar</x:v>
      </x:c>
      <x:c r="C24" s="62" t="str">
        <x:v>Mahisagar</x:v>
      </x:c>
      <x:c r="D24" s="55" t="n">
        <x:v>46103</x:v>
      </x:c>
      <x:c r="E24" s="62" t="str">
        <x:v>Market Take-Back Campaign</x:v>
      </x:c>
      <x:c r="F24" s="62" t="str">
        <x:v>Retailers and consumers</x:v>
      </x:c>
      <x:c r="G24" s="62" t="n">
        <x:v>536</x:v>
      </x:c>
      <x:c r="H24" s="64"/>
      <x:c r="I24" s="64"/>
      <x:c r="J24" s="64"/>
      <x:c r="K24" s="64"/>
    </x:row>
    <x:row r="25" ht="24" hidden="0" customHeight="1">
      <x:c r="B25" s="62" t="str">
        <x:v>E-Waste Awareness &amp; Collection Campaign - Mehsana</x:v>
      </x:c>
      <x:c r="C25" s="62" t="str">
        <x:v>Mehsana</x:v>
      </x:c>
      <x:c r="D25" s="55" t="n">
        <x:v>46135</x:v>
      </x:c>
      <x:c r="E25" s="62" t="str">
        <x:v>School Collection Drive</x:v>
      </x:c>
      <x:c r="F25" s="62" t="str">
        <x:v>Students and teachers</x:v>
      </x:c>
      <x:c r="G25" s="62" t="n">
        <x:v>732</x:v>
      </x:c>
      <x:c r="H25" s="64"/>
      <x:c r="I25" s="64"/>
      <x:c r="J25" s="64"/>
      <x:c r="K25" s="64"/>
    </x:row>
    <x:row r="26" ht="24" hidden="0" customHeight="1">
      <x:c r="B26" s="62" t="str">
        <x:v>E-Waste Awareness &amp; Collection Campaign - Morbi</x:v>
      </x:c>
      <x:c r="C26" s="62" t="str">
        <x:v>Morbi</x:v>
      </x:c>
      <x:c r="D26" s="55" t="n">
        <x:v>46166</x:v>
      </x:c>
      <x:c r="E26" s="62" t="str">
        <x:v>RWA Awareness Camp</x:v>
      </x:c>
      <x:c r="F26" s="62" t="str">
        <x:v>Households and resident associations</x:v>
      </x:c>
      <x:c r="G26" s="62" t="n">
        <x:v>389</x:v>
      </x:c>
      <x:c r="H26" s="64"/>
      <x:c r="I26" s="64"/>
      <x:c r="J26" s="64"/>
      <x:c r="K26" s="64"/>
    </x:row>
    <x:row r="27" ht="26.399999618530273" hidden="0" customHeight="1">
      <x:c r="B27" s="64" t="str">
        <x:v>E-Waste Awareness &amp; Collection Campaign - Narmada</x:v>
      </x:c>
      <x:c r="C27" s="64" t="str">
        <x:v>Narmada</x:v>
      </x:c>
      <x:c r="D27" s="65" t="n">
        <x:v>46176</x:v>
      </x:c>
      <x:c r="E27" s="64" t="str">
        <x:v>College E-Waste Drive</x:v>
      </x:c>
      <x:c r="F27" s="64" t="str">
        <x:v>College youth and faculty</x:v>
      </x:c>
      <x:c r="G27" s="64" t="n">
        <x:v>266</x:v>
      </x:c>
      <x:c r="H27" s="64"/>
      <x:c r="I27" s="64"/>
      <x:c r="J27" s="64"/>
      <x:c r="K27" s="64"/>
    </x:row>
    <x:row r="28" ht="24" hidden="0" customHeight="1">
      <x:c r="B28" s="66" t="str">
        <x:v>E-Waste Awareness &amp; Collection Campaign - Navsari</x:v>
      </x:c>
      <x:c r="C28" s="66" t="str">
        <x:f aca="0"/>
        <x:v>Navsari</x:v>
      </x:c>
      <x:c r="D28" s="65" t="n">
        <x:v>46026</x:v>
      </x:c>
      <x:c r="E28" s="64" t="str">
        <x:v>Market Take-Back Campaign</x:v>
      </x:c>
      <x:c r="F28" s="64" t="str">
        <x:v>Retailers and consumers</x:v>
      </x:c>
      <x:c r="G28" s="64" t="n">
        <x:v>658</x:v>
      </x:c>
      <x:c r="H28" s="64"/>
      <x:c r="I28" s="64"/>
      <x:c r="J28" s="64"/>
      <x:c r="K28" s="64"/>
    </x:row>
    <x:row r="29" ht="24" hidden="0" customHeight="1">
      <x:c r="B29" s="66" t="str">
        <x:v>E-Waste Awareness &amp; Collection Campaign - Panchmahal</x:v>
      </x:c>
      <x:c r="C29" s="66" t="str">
        <x:f aca="0"/>
        <x:v>Panchmahal</x:v>
      </x:c>
      <x:c r="D29" s="65" t="n">
        <x:v>46058</x:v>
      </x:c>
      <x:c r="E29" s="64" t="str">
        <x:v>School Collection Drive</x:v>
      </x:c>
      <x:c r="F29" s="64" t="str">
        <x:v>Students and teachers</x:v>
      </x:c>
      <x:c r="G29" s="64" t="n">
        <x:v>1287</x:v>
      </x:c>
      <x:c r="H29" s="64"/>
      <x:c r="I29" s="64"/>
      <x:c r="J29" s="64"/>
      <x:c r="K29" s="64"/>
    </x:row>
    <x:row r="30" ht="26.399999618530273" hidden="0" customHeight="1">
      <x:c r="B30" s="66" t="str">
        <x:v>E-Waste Awareness &amp; Collection Campaign - Patan</x:v>
      </x:c>
      <x:c r="C30" s="66" t="str">
        <x:f aca="0"/>
        <x:v>Patan</x:v>
      </x:c>
      <x:c r="D30" s="65" t="n">
        <x:v>46087</x:v>
      </x:c>
      <x:c r="E30" s="64" t="str">
        <x:v>RWA Awareness Camp</x:v>
      </x:c>
      <x:c r="F30" s="64" t="str">
        <x:v>Households and resident associations</x:v>
      </x:c>
      <x:c r="G30" s="64" t="n">
        <x:v>485</x:v>
      </x:c>
      <x:c r="H30" s="64"/>
      <x:c r="I30" s="64"/>
      <x:c r="J30" s="64"/>
      <x:c r="K30" s="64"/>
    </x:row>
    <x:row r="31" ht="26.399999618530273" hidden="0" customHeight="1">
      <x:c r="B31" s="64" t="str">
        <x:v>E-Waste Awareness &amp; Collection Campaign - Porbandar</x:v>
      </x:c>
      <x:c r="C31" s="64" t="str">
        <x:v>Porbandar</x:v>
      </x:c>
      <x:c r="D31" s="65" t="n">
        <x:v>46119</x:v>
      </x:c>
      <x:c r="E31" s="64" t="str">
        <x:v>College E-Waste Drive</x:v>
      </x:c>
      <x:c r="F31" s="64" t="str">
        <x:v>College youth and faculty</x:v>
      </x:c>
      <x:c r="G31" s="64" t="n">
        <x:v>250</x:v>
      </x:c>
      <x:c r="H31" s="64"/>
      <x:c r="I31" s="64"/>
      <x:c r="J31" s="64"/>
      <x:c r="K31" s="64"/>
    </x:row>
    <x:row r="32" ht="26.399999618530273" hidden="0" customHeight="1">
      <x:c r="B32" s="64" t="str">
        <x:v>E-Waste Awareness &amp; Collection Campaign - Rajkot</x:v>
      </x:c>
      <x:c r="C32" s="64" t="str">
        <x:v>Rajkot</x:v>
      </x:c>
      <x:c r="D32" s="65" t="n">
        <x:v>46150</x:v>
      </x:c>
      <x:c r="E32" s="64" t="str">
        <x:v>Market Take-Back Campaign</x:v>
      </x:c>
      <x:c r="F32" s="64" t="str">
        <x:v>Retailers and consumers</x:v>
      </x:c>
      <x:c r="G32" s="64" t="n">
        <x:v>1421</x:v>
      </x:c>
      <x:c r="H32" s="64"/>
      <x:c r="I32" s="64"/>
      <x:c r="J32" s="64"/>
      <x:c r="K32" s="64"/>
    </x:row>
    <x:row r="33" ht="26.399999618530273" hidden="0" customHeight="1">
      <x:c r="B33" s="64" t="str">
        <x:v>E-Waste Awareness &amp; Collection Campaign - Sabarkantha</x:v>
      </x:c>
      <x:c r="C33" s="64" t="str">
        <x:v>Sabarkantha</x:v>
      </x:c>
      <x:c r="D33" s="65" t="n">
        <x:v>46182</x:v>
      </x:c>
      <x:c r="E33" s="64" t="str">
        <x:v>School Collection Drive</x:v>
      </x:c>
      <x:c r="F33" s="64" t="str">
        <x:v>Students and teachers</x:v>
      </x:c>
      <x:c r="G33" s="64" t="n">
        <x:v>1216</x:v>
      </x:c>
      <x:c r="H33" s="64"/>
      <x:c r="I33" s="64"/>
      <x:c r="J33" s="64"/>
      <x:c r="K33" s="64"/>
    </x:row>
    <x:row r="34" ht="26.399999618530273" hidden="0" customHeight="1">
      <x:c r="B34" s="64" t="str">
        <x:v>E-Waste Awareness &amp; Collection Campaign - Surat</x:v>
      </x:c>
      <x:c r="C34" s="64" t="str">
        <x:v>Surat</x:v>
      </x:c>
      <x:c r="D34" s="65" t="n">
        <x:v>46032</x:v>
      </x:c>
      <x:c r="E34" s="64" t="str">
        <x:v>RWA Awareness Camp</x:v>
      </x:c>
      <x:c r="F34" s="64" t="str">
        <x:v>Households and resident associations</x:v>
      </x:c>
      <x:c r="G34" s="64" t="n">
        <x:v>3277</x:v>
      </x:c>
      <x:c r="H34" s="64"/>
      <x:c r="I34" s="64"/>
      <x:c r="J34" s="64"/>
      <x:c r="K34" s="64"/>
    </x:row>
    <x:row r="35" ht="26.399999618530273" hidden="0" customHeight="1">
      <x:c r="B35" s="64" t="str">
        <x:v>E-Waste Awareness &amp; Collection Campaign - Surendranagar</x:v>
      </x:c>
      <x:c r="C35" s="64" t="str">
        <x:v>Surendranagar</x:v>
      </x:c>
      <x:c r="D35" s="65" t="n">
        <x:v>46064</x:v>
      </x:c>
      <x:c r="E35" s="64" t="str">
        <x:v>College E-Waste Drive</x:v>
      </x:c>
      <x:c r="F35" s="64" t="str">
        <x:v>College youth and faculty</x:v>
      </x:c>
      <x:c r="G35" s="64" t="n">
        <x:v>634</x:v>
      </x:c>
      <x:c r="H35" s="64"/>
      <x:c r="I35" s="64"/>
      <x:c r="J35" s="64"/>
      <x:c r="K35" s="64"/>
    </x:row>
    <x:row r="36" ht="26.399999618530273" hidden="0" customHeight="1">
      <x:c r="B36" s="64" t="str">
        <x:v>E-Waste Awareness &amp; Collection Campaign - Tapi</x:v>
      </x:c>
      <x:c r="C36" s="64" t="str">
        <x:v>Tapi</x:v>
      </x:c>
      <x:c r="D36" s="65" t="n">
        <x:v>46093</x:v>
      </x:c>
      <x:c r="E36" s="64" t="str">
        <x:v>Market Take-Back Campaign</x:v>
      </x:c>
      <x:c r="F36" s="64" t="str">
        <x:v>Retailers and consumers</x:v>
      </x:c>
      <x:c r="G36" s="64" t="n">
        <x:v>327</x:v>
      </x:c>
      <x:c r="H36" s="64"/>
      <x:c r="I36" s="64"/>
      <x:c r="J36" s="64"/>
      <x:c r="K36" s="64"/>
    </x:row>
    <x:row r="37" ht="26.399999618530273" hidden="0" customHeight="1">
      <x:c r="B37" s="64" t="str">
        <x:v>E-Waste Awareness &amp; Collection Campaign - Vadodara</x:v>
      </x:c>
      <x:c r="C37" s="64" t="str">
        <x:v>Vadodara</x:v>
      </x:c>
      <x:c r="D37" s="65" t="n">
        <x:v>46125</x:v>
      </x:c>
      <x:c r="E37" s="64" t="str">
        <x:v>School Collection Drive</x:v>
      </x:c>
      <x:c r="F37" s="64" t="str">
        <x:v>Students and teachers</x:v>
      </x:c>
      <x:c r="G37" s="64" t="n">
        <x:v>1638</x:v>
      </x:c>
      <x:c r="H37" s="64"/>
      <x:c r="I37" s="64"/>
      <x:c r="J37" s="64"/>
      <x:c r="K37" s="64"/>
    </x:row>
    <x:row r="38" ht="26.399999618530273" hidden="0" customHeight="1">
      <x:c r="B38" s="64" t="str">
        <x:v>E-Waste Awareness &amp; Collection Campaign - Valsad</x:v>
      </x:c>
      <x:c r="C38" s="64" t="str">
        <x:v>Valsad</x:v>
      </x:c>
      <x:c r="D38" s="65" t="n">
        <x:v>46156</x:v>
      </x:c>
      <x:c r="E38" s="64" t="str">
        <x:v>RWA Awareness Camp</x:v>
      </x:c>
      <x:c r="F38" s="64" t="str">
        <x:v>Households and resident associations</x:v>
      </x:c>
      <x:c r="G38" s="64" t="n">
        <x:v>842</x:v>
      </x:c>
      <x:c r="H38" s="64"/>
      <x:c r="I38" s="64"/>
      <x:c r="J38" s="64"/>
      <x:c r="K38" s="64"/>
    </x:row>
    <x:row r="39" ht="26.399999618530273" hidden="0" customHeight="1">
      <x:c r="B39" s="64" t="str">
        <x:v>E-Waste Awareness &amp; Collection Campaign - Vav-Tharad</x:v>
      </x:c>
      <x:c r="C39" s="64" t="str">
        <x:v>Vav-Tharad</x:v>
      </x:c>
      <x:c r="D39" s="65" t="n">
        <x:v>46188</x:v>
      </x:c>
      <x:c r="E39" s="64" t="str">
        <x:v>College E-Waste Drive</x:v>
      </x:c>
      <x:c r="F39" s="64" t="str">
        <x:v>College youth and faculty</x:v>
      </x:c>
      <x:c r="G39" s="64" t="n">
        <x:v>527</x:v>
      </x:c>
      <x:c r="H39" s="64"/>
      <x:c r="I39" s="64"/>
      <x:c r="J39" s="64"/>
      <x:c r="K39" s="64"/>
    </x:row>
    <x:row r="40" ht="15" hidden="0" customHeight="1"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</x:row>
    <x:row r="41" ht="15" hidden="0" customHeight="1">
      <x:c r="B41" s="64" t="str">
        <x:v>Total Programs Conducted</x:v>
      </x:c>
      <x:c r="C41" s="64" t="n">
        <x:f>COUNTA(B6:B39)</x:f>
        <x:v>34</x:v>
      </x:c>
      <x:c r="D41" s="64"/>
      <x:c r="E41" s="64"/>
      <x:c r="F41" s="64"/>
      <x:c r="G41" s="64"/>
      <x:c r="H41" s="64"/>
      <x:c r="I41" s="64"/>
      <x:c r="J41" s="64"/>
      <x:c r="K41" s="64"/>
    </x:row>
    <x:row r="42" ht="15" hidden="0" customHeight="1">
      <x:c r="B42" s="64" t="str">
        <x:v>Collection Drives (School+RWA)</x:v>
      </x:c>
      <x:c r="C42" s="64" t="n">
        <x:f>COUNTIF(E6:E39,"*Drive*")</x:f>
        <x:v>0</x:v>
      </x:c>
      <x:c r="D42" s="64"/>
      <x:c r="E42" s="64"/>
      <x:c r="F42" s="64"/>
      <x:c r="G42" s="64"/>
      <x:c r="H42" s="64"/>
      <x:c r="I42" s="64"/>
      <x:c r="J42" s="64"/>
      <x:c r="K42" s="64"/>
    </x:row>
    <x:row r="43" ht="15" hidden="0" customHeight="1">
      <x:c r="B43" s="64" t="str">
        <x:v>Total Participants Reached</x:v>
      </x:c>
      <x:c r="C43" s="64" t="n">
        <x:f>SUM(G6:G39)</x:f>
        <x:v>29949</x:v>
      </x:c>
      <x:c r="D43" s="64"/>
      <x:c r="E43" s="64"/>
      <x:c r="F43" s="64"/>
      <x:c r="G43" s="64"/>
      <x:c r="H43" s="64"/>
      <x:c r="I43" s="64"/>
      <x:c r="J43" s="64"/>
      <x:c r="K43" s="64"/>
    </x:row>
    <x:row r="44" ht="15" hidden="0" customHeight="1"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</x:row>
    <x:row r="45" ht="15" hidden="0" customHeight="1"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</x:row>
    <x:row r="46" ht="15" hidden="0" customHeight="1"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</x:row>
  </x:sheetData>
  <x:mergeCells>
    <x:mergeCell ref="A2:F2"/>
    <x:mergeCell ref="B3:G3"/>
  </x:mergeCells>
  <x:dataValidations count="1">
    <x:dataValidation type="list" errorStyle="stop" operator="between" allowBlank="1" showDropDown="0" showInputMessage="0" showErrorMessage="0" sqref="D7:D26">
      <x:formula1>"Awareness Campaign,School Collection Drive,RWA/Community Drive,Industry Outreach,Media Campaign"</x:formula1>
      <x:formula2>0</x:formula2>
    </x:dataValidation>
  </x:dataValidation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2C5D589C-CE3C-4E7C-85C1-64D9B494E752}"/>
</file>

<file path=customXml/itemProps2.xml><?xml version="1.0" encoding="utf-8"?>
<ds:datastoreItem xmlns:ds="http://schemas.openxmlformats.org/officeDocument/2006/customXml" ds:itemID="{7FEE2B85-5B03-4D3D-9D3F-00F5CCAF1FCF}"/>
</file>

<file path=customXml/itemProps3.xml><?xml version="1.0" encoding="utf-8"?>
<ds:datastoreItem xmlns:ds="http://schemas.openxmlformats.org/officeDocument/2006/customXml" ds:itemID="{7CD2C64E-B3A9-45E3-85E9-1D6DDCAA281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